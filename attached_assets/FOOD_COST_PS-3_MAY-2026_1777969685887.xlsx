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dratcommercial-my.sharepoint.com/personal/ewrcps-3_qnc_sa/Documents/Desktop/"/>
    </mc:Choice>
  </mc:AlternateContent>
  <xr:revisionPtr revIDLastSave="1726" documentId="6_{1CE823FF-8F61-4693-BEC7-78826867947C}" xr6:coauthVersionLast="47" xr6:coauthVersionMax="47" xr10:uidLastSave="{2ABD8EAE-A712-4C92-B4EC-D17364456CE3}"/>
  <bookViews>
    <workbookView xWindow="0" yWindow="720" windowWidth="28800" windowHeight="15480" firstSheet="10" activeTab="22" xr2:uid="{5659979E-7249-4FE4-9050-7E97A4FE36D6}"/>
  </bookViews>
  <sheets>
    <sheet name="Jul-24" sheetId="1" r:id="rId1"/>
    <sheet name="Aug-24 " sheetId="3" r:id="rId2"/>
    <sheet name="SEPT-24" sheetId="4" r:id="rId3"/>
    <sheet name="OCT-24" sheetId="5" r:id="rId4"/>
    <sheet name="NOV-24" sheetId="6" r:id="rId5"/>
    <sheet name="DEC -24" sheetId="7" r:id="rId6"/>
    <sheet name="JAN-2025" sheetId="8" r:id="rId7"/>
    <sheet name="FEB-2025" sheetId="9" r:id="rId8"/>
    <sheet name="MAR-2025" sheetId="10" r:id="rId9"/>
    <sheet name="APR-2025" sheetId="11" r:id="rId10"/>
    <sheet name="MAY-25" sheetId="12" r:id="rId11"/>
    <sheet name="JUN-25" sheetId="13" r:id="rId12"/>
    <sheet name="JUL-25" sheetId="14" r:id="rId13"/>
    <sheet name="AUG-25" sheetId="15" r:id="rId14"/>
    <sheet name="SEP-25" sheetId="16" r:id="rId15"/>
    <sheet name="OCT-25" sheetId="17" r:id="rId16"/>
    <sheet name="NOV-25" sheetId="18" r:id="rId17"/>
    <sheet name="DEC-25" sheetId="19" r:id="rId18"/>
    <sheet name="JAN-26" sheetId="20" r:id="rId19"/>
    <sheet name="FEB-26" sheetId="23" r:id="rId20"/>
    <sheet name="MAR-26 " sheetId="24" r:id="rId21"/>
    <sheet name="APR-26 " sheetId="25" r:id="rId22"/>
    <sheet name="MAY-26  " sheetId="26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7" i="26" l="1"/>
  <c r="AL37" i="26"/>
  <c r="AK37" i="26"/>
  <c r="AJ37" i="26"/>
  <c r="AI37" i="26"/>
  <c r="AH37" i="26"/>
  <c r="AF37" i="26"/>
  <c r="AD37" i="26"/>
  <c r="AC37" i="26"/>
  <c r="AA37" i="26"/>
  <c r="Z37" i="26"/>
  <c r="X37" i="26"/>
  <c r="W37" i="26"/>
  <c r="Y37" i="26" s="1"/>
  <c r="U37" i="26"/>
  <c r="S37" i="26"/>
  <c r="R37" i="26"/>
  <c r="Q37" i="26"/>
  <c r="O37" i="26"/>
  <c r="N37" i="26"/>
  <c r="K37" i="26"/>
  <c r="I37" i="26"/>
  <c r="G37" i="26"/>
  <c r="F37" i="26"/>
  <c r="E37" i="26"/>
  <c r="D37" i="26"/>
  <c r="C37" i="26"/>
  <c r="B37" i="26"/>
  <c r="AO36" i="26"/>
  <c r="AN36" i="26"/>
  <c r="AE36" i="26"/>
  <c r="AB36" i="26"/>
  <c r="Y36" i="26"/>
  <c r="T36" i="26"/>
  <c r="V36" i="26" s="1"/>
  <c r="P36" i="26"/>
  <c r="H36" i="26"/>
  <c r="J36" i="26" s="1"/>
  <c r="AO35" i="26"/>
  <c r="AN35" i="26"/>
  <c r="AE35" i="26"/>
  <c r="AB35" i="26"/>
  <c r="Y35" i="26"/>
  <c r="T35" i="26"/>
  <c r="V35" i="26" s="1"/>
  <c r="P35" i="26"/>
  <c r="H35" i="26"/>
  <c r="J35" i="26" s="1"/>
  <c r="AO34" i="26"/>
  <c r="AN34" i="26"/>
  <c r="AE34" i="26"/>
  <c r="AB34" i="26"/>
  <c r="Y34" i="26"/>
  <c r="T34" i="26"/>
  <c r="V34" i="26" s="1"/>
  <c r="P34" i="26"/>
  <c r="L34" i="26"/>
  <c r="H34" i="26"/>
  <c r="M34" i="26" s="1"/>
  <c r="AO33" i="26"/>
  <c r="AN33" i="26"/>
  <c r="AE33" i="26"/>
  <c r="AB33" i="26"/>
  <c r="Y33" i="26"/>
  <c r="T33" i="26"/>
  <c r="V33" i="26" s="1"/>
  <c r="P33" i="26"/>
  <c r="H33" i="26"/>
  <c r="M33" i="26" s="1"/>
  <c r="AO32" i="26"/>
  <c r="AN32" i="26"/>
  <c r="AE32" i="26"/>
  <c r="AB32" i="26"/>
  <c r="Y32" i="26"/>
  <c r="T32" i="26"/>
  <c r="V32" i="26" s="1"/>
  <c r="P32" i="26"/>
  <c r="H32" i="26"/>
  <c r="M32" i="26" s="1"/>
  <c r="AO31" i="26"/>
  <c r="AN31" i="26"/>
  <c r="AE31" i="26"/>
  <c r="AB31" i="26"/>
  <c r="Y31" i="26"/>
  <c r="V31" i="26"/>
  <c r="T31" i="26"/>
  <c r="P31" i="26"/>
  <c r="H31" i="26"/>
  <c r="M31" i="26" s="1"/>
  <c r="AO30" i="26"/>
  <c r="AN30" i="26"/>
  <c r="AE30" i="26"/>
  <c r="AB30" i="26"/>
  <c r="Y30" i="26"/>
  <c r="V30" i="26"/>
  <c r="T30" i="26"/>
  <c r="P30" i="26"/>
  <c r="H30" i="26"/>
  <c r="M30" i="26" s="1"/>
  <c r="AO29" i="26"/>
  <c r="AN29" i="26"/>
  <c r="AE29" i="26"/>
  <c r="AB29" i="26"/>
  <c r="Y29" i="26"/>
  <c r="T29" i="26"/>
  <c r="V29" i="26" s="1"/>
  <c r="P29" i="26"/>
  <c r="H29" i="26"/>
  <c r="AG29" i="26" s="1"/>
  <c r="AO28" i="26"/>
  <c r="AN28" i="26"/>
  <c r="AE28" i="26"/>
  <c r="AB28" i="26"/>
  <c r="Y28" i="26"/>
  <c r="V28" i="26"/>
  <c r="T28" i="26"/>
  <c r="P28" i="26"/>
  <c r="H28" i="26"/>
  <c r="J28" i="26" s="1"/>
  <c r="AO27" i="26"/>
  <c r="AN27" i="26"/>
  <c r="AG27" i="26"/>
  <c r="AE27" i="26"/>
  <c r="AB27" i="26"/>
  <c r="Y27" i="26"/>
  <c r="T27" i="26"/>
  <c r="V27" i="26" s="1"/>
  <c r="P27" i="26"/>
  <c r="H27" i="26"/>
  <c r="M27" i="26" s="1"/>
  <c r="AO26" i="26"/>
  <c r="AN26" i="26"/>
  <c r="AE26" i="26"/>
  <c r="AB26" i="26"/>
  <c r="Y26" i="26"/>
  <c r="T26" i="26"/>
  <c r="V26" i="26" s="1"/>
  <c r="P26" i="26"/>
  <c r="H26" i="26"/>
  <c r="M26" i="26" s="1"/>
  <c r="AO25" i="26"/>
  <c r="AN25" i="26"/>
  <c r="AE25" i="26"/>
  <c r="AB25" i="26"/>
  <c r="Y25" i="26"/>
  <c r="T25" i="26"/>
  <c r="V25" i="26" s="1"/>
  <c r="P25" i="26"/>
  <c r="H25" i="26"/>
  <c r="M25" i="26" s="1"/>
  <c r="AO24" i="26"/>
  <c r="AN24" i="26"/>
  <c r="AE24" i="26"/>
  <c r="AB24" i="26"/>
  <c r="Y24" i="26"/>
  <c r="T24" i="26"/>
  <c r="V24" i="26" s="1"/>
  <c r="P24" i="26"/>
  <c r="H24" i="26"/>
  <c r="M24" i="26" s="1"/>
  <c r="AO23" i="26"/>
  <c r="AN23" i="26"/>
  <c r="AE23" i="26"/>
  <c r="AB23" i="26"/>
  <c r="Y23" i="26"/>
  <c r="V23" i="26"/>
  <c r="T23" i="26"/>
  <c r="P23" i="26"/>
  <c r="H23" i="26"/>
  <c r="AG23" i="26" s="1"/>
  <c r="AO22" i="26"/>
  <c r="AN22" i="26"/>
  <c r="AE22" i="26"/>
  <c r="AB22" i="26"/>
  <c r="Y22" i="26"/>
  <c r="V22" i="26"/>
  <c r="T22" i="26"/>
  <c r="P22" i="26"/>
  <c r="H22" i="26"/>
  <c r="M22" i="26" s="1"/>
  <c r="AO21" i="26"/>
  <c r="AN21" i="26"/>
  <c r="AE21" i="26"/>
  <c r="AB21" i="26"/>
  <c r="Y21" i="26"/>
  <c r="T21" i="26"/>
  <c r="V21" i="26" s="1"/>
  <c r="P21" i="26"/>
  <c r="H21" i="26"/>
  <c r="AG21" i="26" s="1"/>
  <c r="AO20" i="26"/>
  <c r="AN20" i="26"/>
  <c r="AE20" i="26"/>
  <c r="AB20" i="26"/>
  <c r="Y20" i="26"/>
  <c r="V20" i="26"/>
  <c r="T20" i="26"/>
  <c r="P20" i="26"/>
  <c r="H20" i="26"/>
  <c r="J20" i="26" s="1"/>
  <c r="AO19" i="26"/>
  <c r="AN19" i="26"/>
  <c r="AE19" i="26"/>
  <c r="AB19" i="26"/>
  <c r="Y19" i="26"/>
  <c r="T19" i="26"/>
  <c r="V19" i="26" s="1"/>
  <c r="P19" i="26"/>
  <c r="M19" i="26"/>
  <c r="H19" i="26"/>
  <c r="L19" i="26" s="1"/>
  <c r="AO18" i="26"/>
  <c r="AN18" i="26"/>
  <c r="AE18" i="26"/>
  <c r="AB18" i="26"/>
  <c r="Y18" i="26"/>
  <c r="T18" i="26"/>
  <c r="V18" i="26" s="1"/>
  <c r="P18" i="26"/>
  <c r="H18" i="26"/>
  <c r="M18" i="26" s="1"/>
  <c r="AO17" i="26"/>
  <c r="AN17" i="26"/>
  <c r="AE17" i="26"/>
  <c r="AB17" i="26"/>
  <c r="Y17" i="26"/>
  <c r="T17" i="26"/>
  <c r="V17" i="26" s="1"/>
  <c r="P17" i="26"/>
  <c r="H17" i="26"/>
  <c r="M17" i="26" s="1"/>
  <c r="AO16" i="26"/>
  <c r="AN16" i="26"/>
  <c r="AE16" i="26"/>
  <c r="AB16" i="26"/>
  <c r="Y16" i="26"/>
  <c r="T16" i="26"/>
  <c r="V16" i="26" s="1"/>
  <c r="P16" i="26"/>
  <c r="H16" i="26"/>
  <c r="M16" i="26" s="1"/>
  <c r="AO15" i="26"/>
  <c r="AN15" i="26"/>
  <c r="AE15" i="26"/>
  <c r="AB15" i="26"/>
  <c r="Y15" i="26"/>
  <c r="V15" i="26"/>
  <c r="T15" i="26"/>
  <c r="P15" i="26"/>
  <c r="H15" i="26"/>
  <c r="M15" i="26" s="1"/>
  <c r="AO14" i="26"/>
  <c r="AN14" i="26"/>
  <c r="AE14" i="26"/>
  <c r="AB14" i="26"/>
  <c r="Y14" i="26"/>
  <c r="T14" i="26"/>
  <c r="V14" i="26" s="1"/>
  <c r="P14" i="26"/>
  <c r="H14" i="26"/>
  <c r="M14" i="26" s="1"/>
  <c r="AO13" i="26"/>
  <c r="AN13" i="26"/>
  <c r="AE13" i="26"/>
  <c r="AB13" i="26"/>
  <c r="Y13" i="26"/>
  <c r="T13" i="26"/>
  <c r="V13" i="26" s="1"/>
  <c r="P13" i="26"/>
  <c r="H13" i="26"/>
  <c r="AG13" i="26" s="1"/>
  <c r="AO12" i="26"/>
  <c r="AN12" i="26"/>
  <c r="AE12" i="26"/>
  <c r="AB12" i="26"/>
  <c r="Y12" i="26"/>
  <c r="T12" i="26"/>
  <c r="V12" i="26" s="1"/>
  <c r="P12" i="26"/>
  <c r="H12" i="26"/>
  <c r="M12" i="26" s="1"/>
  <c r="AO11" i="26"/>
  <c r="AN11" i="26"/>
  <c r="AE11" i="26"/>
  <c r="AB11" i="26"/>
  <c r="Y11" i="26"/>
  <c r="T11" i="26"/>
  <c r="V11" i="26" s="1"/>
  <c r="P11" i="26"/>
  <c r="H11" i="26"/>
  <c r="M11" i="26" s="1"/>
  <c r="AO10" i="26"/>
  <c r="AN10" i="26"/>
  <c r="AE10" i="26"/>
  <c r="AB10" i="26"/>
  <c r="Y10" i="26"/>
  <c r="V10" i="26"/>
  <c r="T10" i="26"/>
  <c r="P10" i="26"/>
  <c r="H10" i="26"/>
  <c r="L10" i="26" s="1"/>
  <c r="AO9" i="26"/>
  <c r="AN9" i="26"/>
  <c r="AE9" i="26"/>
  <c r="AB9" i="26"/>
  <c r="Y9" i="26"/>
  <c r="T9" i="26"/>
  <c r="V9" i="26" s="1"/>
  <c r="P9" i="26"/>
  <c r="H9" i="26"/>
  <c r="M9" i="26" s="1"/>
  <c r="AO8" i="26"/>
  <c r="AN8" i="26"/>
  <c r="AE8" i="26"/>
  <c r="AB8" i="26"/>
  <c r="Y8" i="26"/>
  <c r="T8" i="26"/>
  <c r="V8" i="26" s="1"/>
  <c r="P8" i="26"/>
  <c r="H8" i="26"/>
  <c r="M8" i="26" s="1"/>
  <c r="AO7" i="26"/>
  <c r="AN7" i="26"/>
  <c r="AE7" i="26"/>
  <c r="AB7" i="26"/>
  <c r="Y7" i="26"/>
  <c r="T7" i="26"/>
  <c r="V7" i="26" s="1"/>
  <c r="P7" i="26"/>
  <c r="H7" i="26"/>
  <c r="M7" i="26" s="1"/>
  <c r="AO6" i="26"/>
  <c r="AN6" i="26"/>
  <c r="AE6" i="26"/>
  <c r="AE37" i="26" s="1"/>
  <c r="AB6" i="26"/>
  <c r="Y6" i="26"/>
  <c r="T6" i="26"/>
  <c r="V6" i="26" s="1"/>
  <c r="P6" i="26"/>
  <c r="H6" i="26"/>
  <c r="M6" i="26" s="1"/>
  <c r="AM37" i="25"/>
  <c r="AL37" i="25"/>
  <c r="AK37" i="25"/>
  <c r="AJ37" i="25"/>
  <c r="AI37" i="25"/>
  <c r="AH37" i="25"/>
  <c r="AF37" i="25"/>
  <c r="AD37" i="25"/>
  <c r="AC37" i="25"/>
  <c r="AA37" i="25"/>
  <c r="Z37" i="25"/>
  <c r="X37" i="25"/>
  <c r="W37" i="25"/>
  <c r="U37" i="25"/>
  <c r="S37" i="25"/>
  <c r="R37" i="25"/>
  <c r="Q37" i="25"/>
  <c r="O37" i="25"/>
  <c r="N37" i="25"/>
  <c r="K37" i="25"/>
  <c r="I37" i="25"/>
  <c r="G37" i="25"/>
  <c r="F37" i="25"/>
  <c r="E37" i="25"/>
  <c r="D37" i="25"/>
  <c r="C37" i="25"/>
  <c r="B37" i="25"/>
  <c r="AO36" i="25"/>
  <c r="AN36" i="25"/>
  <c r="AE36" i="25"/>
  <c r="AB36" i="25"/>
  <c r="Y36" i="25"/>
  <c r="V36" i="25"/>
  <c r="T36" i="25"/>
  <c r="P36" i="25"/>
  <c r="H36" i="25"/>
  <c r="M36" i="25" s="1"/>
  <c r="AO35" i="25"/>
  <c r="AN35" i="25"/>
  <c r="AE35" i="25"/>
  <c r="AB35" i="25"/>
  <c r="Y35" i="25"/>
  <c r="T35" i="25"/>
  <c r="V35" i="25" s="1"/>
  <c r="P35" i="25"/>
  <c r="H35" i="25"/>
  <c r="AG35" i="25" s="1"/>
  <c r="AO34" i="25"/>
  <c r="AN34" i="25"/>
  <c r="AE34" i="25"/>
  <c r="AB34" i="25"/>
  <c r="Y34" i="25"/>
  <c r="V34" i="25"/>
  <c r="T34" i="25"/>
  <c r="P34" i="25"/>
  <c r="H34" i="25"/>
  <c r="M34" i="25" s="1"/>
  <c r="AO33" i="25"/>
  <c r="AN33" i="25"/>
  <c r="AE33" i="25"/>
  <c r="AB33" i="25"/>
  <c r="Y33" i="25"/>
  <c r="T33" i="25"/>
  <c r="V33" i="25" s="1"/>
  <c r="P33" i="25"/>
  <c r="H33" i="25"/>
  <c r="AG33" i="25" s="1"/>
  <c r="AO32" i="25"/>
  <c r="AN32" i="25"/>
  <c r="AE32" i="25"/>
  <c r="AB32" i="25"/>
  <c r="Y32" i="25"/>
  <c r="T32" i="25"/>
  <c r="V32" i="25" s="1"/>
  <c r="P32" i="25"/>
  <c r="H32" i="25"/>
  <c r="M32" i="25" s="1"/>
  <c r="AO31" i="25"/>
  <c r="AN31" i="25"/>
  <c r="AE31" i="25"/>
  <c r="AB31" i="25"/>
  <c r="Y31" i="25"/>
  <c r="T31" i="25"/>
  <c r="V31" i="25" s="1"/>
  <c r="P31" i="25"/>
  <c r="H31" i="25"/>
  <c r="AG31" i="25" s="1"/>
  <c r="AO30" i="25"/>
  <c r="AN30" i="25"/>
  <c r="AE30" i="25"/>
  <c r="AB30" i="25"/>
  <c r="Y30" i="25"/>
  <c r="T30" i="25"/>
  <c r="V30" i="25" s="1"/>
  <c r="P30" i="25"/>
  <c r="H30" i="25"/>
  <c r="AG30" i="25" s="1"/>
  <c r="AO29" i="25"/>
  <c r="AN29" i="25"/>
  <c r="AE29" i="25"/>
  <c r="AB29" i="25"/>
  <c r="Y29" i="25"/>
  <c r="T29" i="25"/>
  <c r="V29" i="25" s="1"/>
  <c r="P29" i="25"/>
  <c r="H29" i="25"/>
  <c r="AG29" i="25" s="1"/>
  <c r="AO28" i="25"/>
  <c r="AN28" i="25"/>
  <c r="AE28" i="25"/>
  <c r="AB28" i="25"/>
  <c r="Y28" i="25"/>
  <c r="T28" i="25"/>
  <c r="V28" i="25" s="1"/>
  <c r="P28" i="25"/>
  <c r="H28" i="25"/>
  <c r="AG28" i="25" s="1"/>
  <c r="AO27" i="25"/>
  <c r="AN27" i="25"/>
  <c r="AE27" i="25"/>
  <c r="AB27" i="25"/>
  <c r="Y27" i="25"/>
  <c r="T27" i="25"/>
  <c r="V27" i="25" s="1"/>
  <c r="P27" i="25"/>
  <c r="H27" i="25"/>
  <c r="J27" i="25" s="1"/>
  <c r="AO26" i="25"/>
  <c r="AN26" i="25"/>
  <c r="AE26" i="25"/>
  <c r="AB26" i="25"/>
  <c r="Y26" i="25"/>
  <c r="T26" i="25"/>
  <c r="V26" i="25" s="1"/>
  <c r="P26" i="25"/>
  <c r="H26" i="25"/>
  <c r="M26" i="25" s="1"/>
  <c r="AO25" i="25"/>
  <c r="AN25" i="25"/>
  <c r="AE25" i="25"/>
  <c r="AB25" i="25"/>
  <c r="Y25" i="25"/>
  <c r="T25" i="25"/>
  <c r="V25" i="25" s="1"/>
  <c r="P25" i="25"/>
  <c r="H25" i="25"/>
  <c r="M25" i="25" s="1"/>
  <c r="AO24" i="25"/>
  <c r="AN24" i="25"/>
  <c r="AE24" i="25"/>
  <c r="AB24" i="25"/>
  <c r="Y24" i="25"/>
  <c r="T24" i="25"/>
  <c r="V24" i="25" s="1"/>
  <c r="P24" i="25"/>
  <c r="H24" i="25"/>
  <c r="M24" i="25" s="1"/>
  <c r="AO23" i="25"/>
  <c r="AN23" i="25"/>
  <c r="AE23" i="25"/>
  <c r="AB23" i="25"/>
  <c r="Y23" i="25"/>
  <c r="T23" i="25"/>
  <c r="V23" i="25" s="1"/>
  <c r="P23" i="25"/>
  <c r="H23" i="25"/>
  <c r="M23" i="25" s="1"/>
  <c r="AO22" i="25"/>
  <c r="AN22" i="25"/>
  <c r="AE22" i="25"/>
  <c r="AB22" i="25"/>
  <c r="Y22" i="25"/>
  <c r="T22" i="25"/>
  <c r="V22" i="25" s="1"/>
  <c r="P22" i="25"/>
  <c r="H22" i="25"/>
  <c r="AG22" i="25" s="1"/>
  <c r="AO21" i="25"/>
  <c r="AN21" i="25"/>
  <c r="AE21" i="25"/>
  <c r="AB21" i="25"/>
  <c r="Y21" i="25"/>
  <c r="T21" i="25"/>
  <c r="V21" i="25" s="1"/>
  <c r="P21" i="25"/>
  <c r="H21" i="25"/>
  <c r="AG21" i="25" s="1"/>
  <c r="AO20" i="25"/>
  <c r="AN20" i="25"/>
  <c r="AE20" i="25"/>
  <c r="AB20" i="25"/>
  <c r="Y20" i="25"/>
  <c r="T20" i="25"/>
  <c r="V20" i="25" s="1"/>
  <c r="P20" i="25"/>
  <c r="H20" i="25"/>
  <c r="M20" i="25" s="1"/>
  <c r="AO19" i="25"/>
  <c r="AN19" i="25"/>
  <c r="AE19" i="25"/>
  <c r="AB19" i="25"/>
  <c r="Y19" i="25"/>
  <c r="T19" i="25"/>
  <c r="V19" i="25" s="1"/>
  <c r="P19" i="25"/>
  <c r="H19" i="25"/>
  <c r="J19" i="25" s="1"/>
  <c r="AO18" i="25"/>
  <c r="AN18" i="25"/>
  <c r="AE18" i="25"/>
  <c r="AB18" i="25"/>
  <c r="Y18" i="25"/>
  <c r="T18" i="25"/>
  <c r="V18" i="25" s="1"/>
  <c r="P18" i="25"/>
  <c r="H18" i="25"/>
  <c r="J18" i="25" s="1"/>
  <c r="AO17" i="25"/>
  <c r="AN17" i="25"/>
  <c r="AE17" i="25"/>
  <c r="AB17" i="25"/>
  <c r="Y17" i="25"/>
  <c r="T17" i="25"/>
  <c r="V17" i="25" s="1"/>
  <c r="P17" i="25"/>
  <c r="H17" i="25"/>
  <c r="M17" i="25" s="1"/>
  <c r="AO16" i="25"/>
  <c r="AN16" i="25"/>
  <c r="AE16" i="25"/>
  <c r="AB16" i="25"/>
  <c r="Y16" i="25"/>
  <c r="T16" i="25"/>
  <c r="V16" i="25" s="1"/>
  <c r="P16" i="25"/>
  <c r="H16" i="25"/>
  <c r="M16" i="25" s="1"/>
  <c r="AO15" i="25"/>
  <c r="AN15" i="25"/>
  <c r="AE15" i="25"/>
  <c r="AB15" i="25"/>
  <c r="Y15" i="25"/>
  <c r="T15" i="25"/>
  <c r="V15" i="25" s="1"/>
  <c r="P15" i="25"/>
  <c r="H15" i="25"/>
  <c r="L15" i="25" s="1"/>
  <c r="AO14" i="25"/>
  <c r="AN14" i="25"/>
  <c r="AE14" i="25"/>
  <c r="AB14" i="25"/>
  <c r="Y14" i="25"/>
  <c r="T14" i="25"/>
  <c r="V14" i="25" s="1"/>
  <c r="P14" i="25"/>
  <c r="H14" i="25"/>
  <c r="AG14" i="25" s="1"/>
  <c r="AO13" i="25"/>
  <c r="AN13" i="25"/>
  <c r="AE13" i="25"/>
  <c r="AB13" i="25"/>
  <c r="Y13" i="25"/>
  <c r="T13" i="25"/>
  <c r="V13" i="25" s="1"/>
  <c r="P13" i="25"/>
  <c r="H13" i="25"/>
  <c r="AG13" i="25" s="1"/>
  <c r="AO12" i="25"/>
  <c r="AN12" i="25"/>
  <c r="AE12" i="25"/>
  <c r="AB12" i="25"/>
  <c r="Y12" i="25"/>
  <c r="T12" i="25"/>
  <c r="V12" i="25" s="1"/>
  <c r="P12" i="25"/>
  <c r="H12" i="25"/>
  <c r="AG12" i="25" s="1"/>
  <c r="AO11" i="25"/>
  <c r="AN11" i="25"/>
  <c r="AE11" i="25"/>
  <c r="AB11" i="25"/>
  <c r="Y11" i="25"/>
  <c r="T11" i="25"/>
  <c r="V11" i="25" s="1"/>
  <c r="P11" i="25"/>
  <c r="H11" i="25"/>
  <c r="J11" i="25" s="1"/>
  <c r="AO10" i="25"/>
  <c r="AN10" i="25"/>
  <c r="AE10" i="25"/>
  <c r="AB10" i="25"/>
  <c r="Y10" i="25"/>
  <c r="T10" i="25"/>
  <c r="V10" i="25" s="1"/>
  <c r="P10" i="25"/>
  <c r="H10" i="25"/>
  <c r="J10" i="25" s="1"/>
  <c r="AO9" i="25"/>
  <c r="AN9" i="25"/>
  <c r="AE9" i="25"/>
  <c r="AB9" i="25"/>
  <c r="Y9" i="25"/>
  <c r="T9" i="25"/>
  <c r="V9" i="25" s="1"/>
  <c r="P9" i="25"/>
  <c r="H9" i="25"/>
  <c r="M9" i="25" s="1"/>
  <c r="AO8" i="25"/>
  <c r="AN8" i="25"/>
  <c r="AE8" i="25"/>
  <c r="AB8" i="25"/>
  <c r="Y8" i="25"/>
  <c r="T8" i="25"/>
  <c r="V8" i="25" s="1"/>
  <c r="P8" i="25"/>
  <c r="H8" i="25"/>
  <c r="M8" i="25" s="1"/>
  <c r="AO7" i="25"/>
  <c r="AN7" i="25"/>
  <c r="AE7" i="25"/>
  <c r="AB7" i="25"/>
  <c r="Y7" i="25"/>
  <c r="T7" i="25"/>
  <c r="V7" i="25" s="1"/>
  <c r="P7" i="25"/>
  <c r="H7" i="25"/>
  <c r="M7" i="25" s="1"/>
  <c r="AO6" i="25"/>
  <c r="AN6" i="25"/>
  <c r="AE6" i="25"/>
  <c r="AB6" i="25"/>
  <c r="Y6" i="25"/>
  <c r="T6" i="25"/>
  <c r="V6" i="25" s="1"/>
  <c r="P6" i="25"/>
  <c r="H6" i="25"/>
  <c r="AG6" i="25" s="1"/>
  <c r="H24" i="24"/>
  <c r="L8" i="26" l="1"/>
  <c r="AN37" i="26"/>
  <c r="AB37" i="26"/>
  <c r="P37" i="26"/>
  <c r="T37" i="26"/>
  <c r="V37" i="26" s="1"/>
  <c r="AO37" i="26"/>
  <c r="J13" i="26"/>
  <c r="M13" i="26"/>
  <c r="J31" i="26"/>
  <c r="M23" i="26"/>
  <c r="J16" i="26"/>
  <c r="L16" i="26"/>
  <c r="J27" i="26"/>
  <c r="J7" i="26"/>
  <c r="AG18" i="26"/>
  <c r="AG24" i="26"/>
  <c r="L27" i="26"/>
  <c r="L31" i="26"/>
  <c r="AG31" i="26"/>
  <c r="AG35" i="26"/>
  <c r="L7" i="26"/>
  <c r="AG7" i="26"/>
  <c r="J11" i="26"/>
  <c r="AG11" i="26"/>
  <c r="J15" i="26"/>
  <c r="L18" i="26"/>
  <c r="J21" i="26"/>
  <c r="J24" i="26"/>
  <c r="L35" i="26"/>
  <c r="L11" i="26"/>
  <c r="L15" i="26"/>
  <c r="AG15" i="26"/>
  <c r="M21" i="26"/>
  <c r="L24" i="26"/>
  <c r="M35" i="26"/>
  <c r="AG26" i="26"/>
  <c r="AG32" i="26"/>
  <c r="AG8" i="26"/>
  <c r="J19" i="26"/>
  <c r="AG19" i="26"/>
  <c r="J23" i="26"/>
  <c r="L26" i="26"/>
  <c r="J29" i="26"/>
  <c r="J32" i="26"/>
  <c r="J8" i="26"/>
  <c r="AG16" i="26"/>
  <c r="L23" i="26"/>
  <c r="M29" i="26"/>
  <c r="L32" i="26"/>
  <c r="AG34" i="26"/>
  <c r="J10" i="26"/>
  <c r="L13" i="26"/>
  <c r="J18" i="26"/>
  <c r="L21" i="26"/>
  <c r="J26" i="26"/>
  <c r="L29" i="26"/>
  <c r="J34" i="26"/>
  <c r="J9" i="26"/>
  <c r="L12" i="26"/>
  <c r="AG12" i="26"/>
  <c r="J17" i="26"/>
  <c r="L20" i="26"/>
  <c r="AG20" i="26"/>
  <c r="J25" i="26"/>
  <c r="L28" i="26"/>
  <c r="AG28" i="26"/>
  <c r="J33" i="26"/>
  <c r="L36" i="26"/>
  <c r="AG36" i="26"/>
  <c r="AG10" i="26"/>
  <c r="M10" i="26"/>
  <c r="J12" i="26"/>
  <c r="J6" i="26"/>
  <c r="L9" i="26"/>
  <c r="AG9" i="26"/>
  <c r="J14" i="26"/>
  <c r="L17" i="26"/>
  <c r="AG17" i="26"/>
  <c r="M20" i="26"/>
  <c r="J22" i="26"/>
  <c r="L25" i="26"/>
  <c r="AG25" i="26"/>
  <c r="M28" i="26"/>
  <c r="J30" i="26"/>
  <c r="L33" i="26"/>
  <c r="AG33" i="26"/>
  <c r="M36" i="26"/>
  <c r="H37" i="26"/>
  <c r="AG37" i="26" s="1"/>
  <c r="L6" i="26"/>
  <c r="AG6" i="26"/>
  <c r="L14" i="26"/>
  <c r="AG14" i="26"/>
  <c r="L22" i="26"/>
  <c r="AG22" i="26"/>
  <c r="L30" i="26"/>
  <c r="AG30" i="26"/>
  <c r="J34" i="25"/>
  <c r="M33" i="25"/>
  <c r="J32" i="25"/>
  <c r="J31" i="25"/>
  <c r="M31" i="25"/>
  <c r="M29" i="25"/>
  <c r="Y37" i="25"/>
  <c r="J24" i="25"/>
  <c r="J16" i="25"/>
  <c r="J15" i="25"/>
  <c r="AG15" i="25"/>
  <c r="M15" i="25"/>
  <c r="AE37" i="25"/>
  <c r="AG7" i="25"/>
  <c r="L7" i="25"/>
  <c r="J7" i="25"/>
  <c r="AN37" i="25"/>
  <c r="AB37" i="25"/>
  <c r="T37" i="25"/>
  <c r="V37" i="25" s="1"/>
  <c r="P37" i="25"/>
  <c r="AO37" i="25"/>
  <c r="AG10" i="25"/>
  <c r="J26" i="25"/>
  <c r="AG26" i="25"/>
  <c r="J35" i="25"/>
  <c r="L10" i="25"/>
  <c r="J23" i="25"/>
  <c r="L26" i="25"/>
  <c r="M35" i="25"/>
  <c r="M21" i="25"/>
  <c r="J8" i="25"/>
  <c r="M10" i="25"/>
  <c r="L23" i="25"/>
  <c r="AG23" i="25"/>
  <c r="AG18" i="25"/>
  <c r="J33" i="25"/>
  <c r="M13" i="25"/>
  <c r="L18" i="25"/>
  <c r="M18" i="25"/>
  <c r="J12" i="25"/>
  <c r="L20" i="25"/>
  <c r="J6" i="25"/>
  <c r="AG9" i="25"/>
  <c r="M12" i="25"/>
  <c r="M28" i="25"/>
  <c r="M6" i="25"/>
  <c r="AG11" i="25"/>
  <c r="M30" i="25"/>
  <c r="L8" i="25"/>
  <c r="AG8" i="25"/>
  <c r="M11" i="25"/>
  <c r="J13" i="25"/>
  <c r="L16" i="25"/>
  <c r="AG16" i="25"/>
  <c r="M19" i="25"/>
  <c r="J21" i="25"/>
  <c r="L24" i="25"/>
  <c r="AG24" i="25"/>
  <c r="M27" i="25"/>
  <c r="J29" i="25"/>
  <c r="L32" i="25"/>
  <c r="AG32" i="25"/>
  <c r="J20" i="25"/>
  <c r="J28" i="25"/>
  <c r="J9" i="25"/>
  <c r="L12" i="25"/>
  <c r="AG20" i="25"/>
  <c r="J14" i="25"/>
  <c r="L17" i="25"/>
  <c r="AG17" i="25"/>
  <c r="J22" i="25"/>
  <c r="L25" i="25"/>
  <c r="J30" i="25"/>
  <c r="L11" i="25"/>
  <c r="M14" i="25"/>
  <c r="L19" i="25"/>
  <c r="AG19" i="25"/>
  <c r="M22" i="25"/>
  <c r="L27" i="25"/>
  <c r="AG27" i="25"/>
  <c r="L13" i="25"/>
  <c r="L21" i="25"/>
  <c r="L29" i="25"/>
  <c r="L34" i="25"/>
  <c r="AG34" i="25"/>
  <c r="L31" i="25"/>
  <c r="J36" i="25"/>
  <c r="J17" i="25"/>
  <c r="J25" i="25"/>
  <c r="L28" i="25"/>
  <c r="L36" i="25"/>
  <c r="AG36" i="25"/>
  <c r="L33" i="25"/>
  <c r="H37" i="25"/>
  <c r="J37" i="25" s="1"/>
  <c r="L9" i="25"/>
  <c r="AG25" i="25"/>
  <c r="L6" i="25"/>
  <c r="L14" i="25"/>
  <c r="L22" i="25"/>
  <c r="L30" i="25"/>
  <c r="L35" i="25"/>
  <c r="AM37" i="24"/>
  <c r="AL37" i="24"/>
  <c r="AK37" i="24"/>
  <c r="AJ37" i="24"/>
  <c r="AI37" i="24"/>
  <c r="AH37" i="24"/>
  <c r="AF37" i="24"/>
  <c r="AD37" i="24"/>
  <c r="AC37" i="24"/>
  <c r="AA37" i="24"/>
  <c r="Z37" i="24"/>
  <c r="X37" i="24"/>
  <c r="W37" i="24"/>
  <c r="U37" i="24"/>
  <c r="S37" i="24"/>
  <c r="R37" i="24"/>
  <c r="Q37" i="24"/>
  <c r="O37" i="24"/>
  <c r="N37" i="24"/>
  <c r="K37" i="24"/>
  <c r="I37" i="24"/>
  <c r="G37" i="24"/>
  <c r="F37" i="24"/>
  <c r="E37" i="24"/>
  <c r="D37" i="24"/>
  <c r="C37" i="24"/>
  <c r="B37" i="24"/>
  <c r="AO36" i="24"/>
  <c r="AN36" i="24"/>
  <c r="AE36" i="24"/>
  <c r="AB36" i="24"/>
  <c r="Y36" i="24"/>
  <c r="T36" i="24"/>
  <c r="V36" i="24" s="1"/>
  <c r="P36" i="24"/>
  <c r="H36" i="24"/>
  <c r="M36" i="24" s="1"/>
  <c r="AO35" i="24"/>
  <c r="AN35" i="24"/>
  <c r="AE35" i="24"/>
  <c r="AB35" i="24"/>
  <c r="Y35" i="24"/>
  <c r="T35" i="24"/>
  <c r="V35" i="24" s="1"/>
  <c r="P35" i="24"/>
  <c r="H35" i="24"/>
  <c r="AG35" i="24" s="1"/>
  <c r="AO34" i="24"/>
  <c r="AN34" i="24"/>
  <c r="AE34" i="24"/>
  <c r="AB34" i="24"/>
  <c r="Y34" i="24"/>
  <c r="T34" i="24"/>
  <c r="V34" i="24" s="1"/>
  <c r="P34" i="24"/>
  <c r="H34" i="24"/>
  <c r="M34" i="24" s="1"/>
  <c r="AO33" i="24"/>
  <c r="AN33" i="24"/>
  <c r="AE33" i="24"/>
  <c r="AB33" i="24"/>
  <c r="Y33" i="24"/>
  <c r="T33" i="24"/>
  <c r="V33" i="24" s="1"/>
  <c r="P33" i="24"/>
  <c r="H33" i="24"/>
  <c r="M33" i="24" s="1"/>
  <c r="AO32" i="24"/>
  <c r="AN32" i="24"/>
  <c r="AE32" i="24"/>
  <c r="AB32" i="24"/>
  <c r="Y32" i="24"/>
  <c r="T32" i="24"/>
  <c r="V32" i="24" s="1"/>
  <c r="P32" i="24"/>
  <c r="H32" i="24"/>
  <c r="J32" i="24" s="1"/>
  <c r="AO31" i="24"/>
  <c r="AN31" i="24"/>
  <c r="AE31" i="24"/>
  <c r="AB31" i="24"/>
  <c r="Y31" i="24"/>
  <c r="T31" i="24"/>
  <c r="V31" i="24" s="1"/>
  <c r="P31" i="24"/>
  <c r="H31" i="24"/>
  <c r="M31" i="24" s="1"/>
  <c r="AO30" i="24"/>
  <c r="AN30" i="24"/>
  <c r="AE30" i="24"/>
  <c r="AB30" i="24"/>
  <c r="Y30" i="24"/>
  <c r="T30" i="24"/>
  <c r="V30" i="24" s="1"/>
  <c r="P30" i="24"/>
  <c r="J30" i="24"/>
  <c r="H30" i="24"/>
  <c r="M30" i="24" s="1"/>
  <c r="AO29" i="24"/>
  <c r="AN29" i="24"/>
  <c r="AE29" i="24"/>
  <c r="AB29" i="24"/>
  <c r="Y29" i="24"/>
  <c r="V29" i="24"/>
  <c r="T29" i="24"/>
  <c r="P29" i="24"/>
  <c r="H29" i="24"/>
  <c r="J29" i="24" s="1"/>
  <c r="AO28" i="24"/>
  <c r="AN28" i="24"/>
  <c r="AE28" i="24"/>
  <c r="AB28" i="24"/>
  <c r="Y28" i="24"/>
  <c r="T28" i="24"/>
  <c r="V28" i="24" s="1"/>
  <c r="P28" i="24"/>
  <c r="H28" i="24"/>
  <c r="M28" i="24" s="1"/>
  <c r="AO27" i="24"/>
  <c r="AN27" i="24"/>
  <c r="AE27" i="24"/>
  <c r="AB27" i="24"/>
  <c r="Y27" i="24"/>
  <c r="T27" i="24"/>
  <c r="V27" i="24" s="1"/>
  <c r="P27" i="24"/>
  <c r="H27" i="24"/>
  <c r="AG27" i="24" s="1"/>
  <c r="AO26" i="24"/>
  <c r="AN26" i="24"/>
  <c r="AE26" i="24"/>
  <c r="AB26" i="24"/>
  <c r="Y26" i="24"/>
  <c r="T26" i="24"/>
  <c r="V26" i="24" s="1"/>
  <c r="P26" i="24"/>
  <c r="H26" i="24"/>
  <c r="M26" i="24" s="1"/>
  <c r="AO25" i="24"/>
  <c r="AN25" i="24"/>
  <c r="AE25" i="24"/>
  <c r="AB25" i="24"/>
  <c r="Y25" i="24"/>
  <c r="V25" i="24"/>
  <c r="T25" i="24"/>
  <c r="P25" i="24"/>
  <c r="H25" i="24"/>
  <c r="M25" i="24" s="1"/>
  <c r="AO24" i="24"/>
  <c r="AN24" i="24"/>
  <c r="AE24" i="24"/>
  <c r="AB24" i="24"/>
  <c r="Y24" i="24"/>
  <c r="T24" i="24"/>
  <c r="V24" i="24" s="1"/>
  <c r="P24" i="24"/>
  <c r="J24" i="24"/>
  <c r="AO23" i="24"/>
  <c r="AN23" i="24"/>
  <c r="AE23" i="24"/>
  <c r="AB23" i="24"/>
  <c r="Y23" i="24"/>
  <c r="T23" i="24"/>
  <c r="V23" i="24" s="1"/>
  <c r="P23" i="24"/>
  <c r="H23" i="24"/>
  <c r="M23" i="24" s="1"/>
  <c r="AO22" i="24"/>
  <c r="AN22" i="24"/>
  <c r="AE22" i="24"/>
  <c r="AB22" i="24"/>
  <c r="Y22" i="24"/>
  <c r="T22" i="24"/>
  <c r="V22" i="24" s="1"/>
  <c r="P22" i="24"/>
  <c r="H22" i="24"/>
  <c r="AG22" i="24" s="1"/>
  <c r="AO21" i="24"/>
  <c r="AN21" i="24"/>
  <c r="AE21" i="24"/>
  <c r="AB21" i="24"/>
  <c r="Y21" i="24"/>
  <c r="T21" i="24"/>
  <c r="V21" i="24" s="1"/>
  <c r="P21" i="24"/>
  <c r="H21" i="24"/>
  <c r="J21" i="24" s="1"/>
  <c r="AO20" i="24"/>
  <c r="AN20" i="24"/>
  <c r="AE20" i="24"/>
  <c r="AB20" i="24"/>
  <c r="Y20" i="24"/>
  <c r="T20" i="24"/>
  <c r="V20" i="24" s="1"/>
  <c r="P20" i="24"/>
  <c r="H20" i="24"/>
  <c r="M20" i="24" s="1"/>
  <c r="AO19" i="24"/>
  <c r="AN19" i="24"/>
  <c r="AE19" i="24"/>
  <c r="AB19" i="24"/>
  <c r="Y19" i="24"/>
  <c r="T19" i="24"/>
  <c r="V19" i="24" s="1"/>
  <c r="P19" i="24"/>
  <c r="H19" i="24"/>
  <c r="AG19" i="24" s="1"/>
  <c r="AO18" i="24"/>
  <c r="AN18" i="24"/>
  <c r="AE18" i="24"/>
  <c r="AB18" i="24"/>
  <c r="Y18" i="24"/>
  <c r="T18" i="24"/>
  <c r="V18" i="24" s="1"/>
  <c r="P18" i="24"/>
  <c r="H18" i="24"/>
  <c r="M18" i="24" s="1"/>
  <c r="AO17" i="24"/>
  <c r="AN17" i="24"/>
  <c r="AE17" i="24"/>
  <c r="AB17" i="24"/>
  <c r="Y17" i="24"/>
  <c r="T17" i="24"/>
  <c r="V17" i="24" s="1"/>
  <c r="P17" i="24"/>
  <c r="H17" i="24"/>
  <c r="M17" i="24" s="1"/>
  <c r="AO16" i="24"/>
  <c r="AN16" i="24"/>
  <c r="AE16" i="24"/>
  <c r="AB16" i="24"/>
  <c r="Y16" i="24"/>
  <c r="T16" i="24"/>
  <c r="V16" i="24" s="1"/>
  <c r="P16" i="24"/>
  <c r="H16" i="24"/>
  <c r="J16" i="24" s="1"/>
  <c r="AO15" i="24"/>
  <c r="AN15" i="24"/>
  <c r="AE15" i="24"/>
  <c r="AB15" i="24"/>
  <c r="Y15" i="24"/>
  <c r="T15" i="24"/>
  <c r="V15" i="24" s="1"/>
  <c r="P15" i="24"/>
  <c r="H15" i="24"/>
  <c r="M15" i="24" s="1"/>
  <c r="AO14" i="24"/>
  <c r="AN14" i="24"/>
  <c r="AE14" i="24"/>
  <c r="AB14" i="24"/>
  <c r="Y14" i="24"/>
  <c r="T14" i="24"/>
  <c r="V14" i="24" s="1"/>
  <c r="P14" i="24"/>
  <c r="H14" i="24"/>
  <c r="M14" i="24" s="1"/>
  <c r="AO13" i="24"/>
  <c r="AN13" i="24"/>
  <c r="AE13" i="24"/>
  <c r="AB13" i="24"/>
  <c r="Y13" i="24"/>
  <c r="V13" i="24"/>
  <c r="T13" i="24"/>
  <c r="P13" i="24"/>
  <c r="H13" i="24"/>
  <c r="J13" i="24" s="1"/>
  <c r="AO12" i="24"/>
  <c r="AN12" i="24"/>
  <c r="AE12" i="24"/>
  <c r="AB12" i="24"/>
  <c r="Y12" i="24"/>
  <c r="T12" i="24"/>
  <c r="V12" i="24" s="1"/>
  <c r="P12" i="24"/>
  <c r="H12" i="24"/>
  <c r="AG12" i="24" s="1"/>
  <c r="AO11" i="24"/>
  <c r="AN11" i="24"/>
  <c r="AE11" i="24"/>
  <c r="AB11" i="24"/>
  <c r="Y11" i="24"/>
  <c r="T11" i="24"/>
  <c r="V11" i="24" s="1"/>
  <c r="P11" i="24"/>
  <c r="H11" i="24"/>
  <c r="AG11" i="24" s="1"/>
  <c r="AO10" i="24"/>
  <c r="AN10" i="24"/>
  <c r="AE10" i="24"/>
  <c r="AB10" i="24"/>
  <c r="Y10" i="24"/>
  <c r="T10" i="24"/>
  <c r="V10" i="24" s="1"/>
  <c r="P10" i="24"/>
  <c r="H10" i="24"/>
  <c r="M10" i="24" s="1"/>
  <c r="AO9" i="24"/>
  <c r="AN9" i="24"/>
  <c r="AE9" i="24"/>
  <c r="AB9" i="24"/>
  <c r="Y9" i="24"/>
  <c r="T9" i="24"/>
  <c r="V9" i="24" s="1"/>
  <c r="P9" i="24"/>
  <c r="H9" i="24"/>
  <c r="M9" i="24" s="1"/>
  <c r="AO8" i="24"/>
  <c r="AN8" i="24"/>
  <c r="AE8" i="24"/>
  <c r="AB8" i="24"/>
  <c r="Y8" i="24"/>
  <c r="T8" i="24"/>
  <c r="V8" i="24" s="1"/>
  <c r="P8" i="24"/>
  <c r="H8" i="24"/>
  <c r="J8" i="24" s="1"/>
  <c r="AO7" i="24"/>
  <c r="AN7" i="24"/>
  <c r="AE7" i="24"/>
  <c r="AB7" i="24"/>
  <c r="Y7" i="24"/>
  <c r="T7" i="24"/>
  <c r="V7" i="24" s="1"/>
  <c r="P7" i="24"/>
  <c r="H7" i="24"/>
  <c r="M7" i="24" s="1"/>
  <c r="AO6" i="24"/>
  <c r="AN6" i="24"/>
  <c r="AE6" i="24"/>
  <c r="AB6" i="24"/>
  <c r="Y6" i="24"/>
  <c r="T6" i="24"/>
  <c r="V6" i="24" s="1"/>
  <c r="P6" i="24"/>
  <c r="H6" i="24"/>
  <c r="M6" i="24" s="1"/>
  <c r="AO7" i="23"/>
  <c r="AO8" i="23"/>
  <c r="AO9" i="23"/>
  <c r="AO10" i="23"/>
  <c r="AO11" i="23"/>
  <c r="AO12" i="23"/>
  <c r="AO13" i="23"/>
  <c r="AO14" i="23"/>
  <c r="AO15" i="23"/>
  <c r="AO16" i="23"/>
  <c r="AO17" i="23"/>
  <c r="AO18" i="23"/>
  <c r="AO19" i="23"/>
  <c r="AO20" i="23"/>
  <c r="AO21" i="23"/>
  <c r="AO22" i="23"/>
  <c r="AO23" i="23"/>
  <c r="AO24" i="23"/>
  <c r="AO25" i="23"/>
  <c r="AO26" i="23"/>
  <c r="AO27" i="23"/>
  <c r="AO28" i="23"/>
  <c r="AO29" i="23"/>
  <c r="AO30" i="23"/>
  <c r="AO31" i="23"/>
  <c r="AO32" i="23"/>
  <c r="AO33" i="23"/>
  <c r="AO34" i="23"/>
  <c r="AO35" i="23"/>
  <c r="AO36" i="23"/>
  <c r="AO6" i="23"/>
  <c r="U37" i="23"/>
  <c r="V7" i="23"/>
  <c r="V8" i="23"/>
  <c r="V9" i="23"/>
  <c r="V10" i="23"/>
  <c r="V11" i="23"/>
  <c r="V12" i="23"/>
  <c r="V13" i="23"/>
  <c r="V14" i="23"/>
  <c r="V15" i="23"/>
  <c r="V16" i="23"/>
  <c r="V17" i="23"/>
  <c r="V18" i="23"/>
  <c r="V19" i="23"/>
  <c r="V25" i="23"/>
  <c r="V26" i="23"/>
  <c r="V33" i="23"/>
  <c r="V34" i="23"/>
  <c r="V35" i="23"/>
  <c r="V36" i="23"/>
  <c r="V6" i="23"/>
  <c r="S37" i="23"/>
  <c r="R37" i="23"/>
  <c r="Q37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V20" i="23" s="1"/>
  <c r="T21" i="23"/>
  <c r="V21" i="23" s="1"/>
  <c r="T22" i="23"/>
  <c r="V22" i="23" s="1"/>
  <c r="T23" i="23"/>
  <c r="V23" i="23" s="1"/>
  <c r="T24" i="23"/>
  <c r="V24" i="23" s="1"/>
  <c r="T25" i="23"/>
  <c r="T26" i="23"/>
  <c r="T27" i="23"/>
  <c r="V27" i="23" s="1"/>
  <c r="T28" i="23"/>
  <c r="V28" i="23" s="1"/>
  <c r="T29" i="23"/>
  <c r="V29" i="23" s="1"/>
  <c r="T30" i="23"/>
  <c r="V30" i="23" s="1"/>
  <c r="T31" i="23"/>
  <c r="V31" i="23" s="1"/>
  <c r="T32" i="23"/>
  <c r="V32" i="23" s="1"/>
  <c r="T33" i="23"/>
  <c r="T34" i="23"/>
  <c r="T35" i="23"/>
  <c r="T36" i="23"/>
  <c r="T6" i="23"/>
  <c r="AD37" i="23"/>
  <c r="H35" i="23"/>
  <c r="J35" i="23" s="1"/>
  <c r="L35" i="23"/>
  <c r="P35" i="23"/>
  <c r="Y35" i="23"/>
  <c r="AB35" i="23"/>
  <c r="AE35" i="23"/>
  <c r="AG35" i="23"/>
  <c r="AN35" i="23"/>
  <c r="AN30" i="23"/>
  <c r="AN31" i="23"/>
  <c r="H30" i="23"/>
  <c r="M30" i="23" s="1"/>
  <c r="P30" i="23"/>
  <c r="Y30" i="23"/>
  <c r="AB30" i="23"/>
  <c r="AE30" i="23"/>
  <c r="H31" i="23"/>
  <c r="M31" i="23" s="1"/>
  <c r="P31" i="23"/>
  <c r="Y31" i="23"/>
  <c r="AB31" i="23"/>
  <c r="AE31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2" i="23"/>
  <c r="P33" i="23"/>
  <c r="P34" i="23"/>
  <c r="P36" i="23"/>
  <c r="P6" i="23"/>
  <c r="K37" i="23"/>
  <c r="AM37" i="23"/>
  <c r="AL37" i="23"/>
  <c r="AK37" i="23"/>
  <c r="AJ37" i="23"/>
  <c r="AI37" i="23"/>
  <c r="AH37" i="23"/>
  <c r="AF37" i="23"/>
  <c r="AC37" i="23"/>
  <c r="AA37" i="23"/>
  <c r="Z37" i="23"/>
  <c r="X37" i="23"/>
  <c r="W37" i="23"/>
  <c r="O37" i="23"/>
  <c r="N37" i="23"/>
  <c r="G37" i="23"/>
  <c r="F37" i="23"/>
  <c r="E37" i="23"/>
  <c r="D37" i="23"/>
  <c r="C37" i="23"/>
  <c r="B37" i="23"/>
  <c r="AN36" i="23"/>
  <c r="AE36" i="23"/>
  <c r="AB36" i="23"/>
  <c r="Y36" i="23"/>
  <c r="H36" i="23"/>
  <c r="M36" i="23" s="1"/>
  <c r="AN34" i="23"/>
  <c r="AE34" i="23"/>
  <c r="AB34" i="23"/>
  <c r="Y34" i="23"/>
  <c r="H34" i="23"/>
  <c r="AG34" i="23" s="1"/>
  <c r="AN33" i="23"/>
  <c r="AE33" i="23"/>
  <c r="AB33" i="23"/>
  <c r="Y33" i="23"/>
  <c r="H33" i="23"/>
  <c r="M33" i="23" s="1"/>
  <c r="AN32" i="23"/>
  <c r="AE32" i="23"/>
  <c r="AB32" i="23"/>
  <c r="Y32" i="23"/>
  <c r="H32" i="23"/>
  <c r="M32" i="23" s="1"/>
  <c r="AN29" i="23"/>
  <c r="AE29" i="23"/>
  <c r="AB29" i="23"/>
  <c r="Y29" i="23"/>
  <c r="H29" i="23"/>
  <c r="L29" i="23" s="1"/>
  <c r="AN28" i="23"/>
  <c r="AE28" i="23"/>
  <c r="AB28" i="23"/>
  <c r="Y28" i="23"/>
  <c r="H28" i="23"/>
  <c r="L28" i="23" s="1"/>
  <c r="AN27" i="23"/>
  <c r="AE27" i="23"/>
  <c r="AB27" i="23"/>
  <c r="Y27" i="23"/>
  <c r="H27" i="23"/>
  <c r="J27" i="23" s="1"/>
  <c r="AN26" i="23"/>
  <c r="AE26" i="23"/>
  <c r="AB26" i="23"/>
  <c r="Y26" i="23"/>
  <c r="H26" i="23"/>
  <c r="J26" i="23" s="1"/>
  <c r="AN25" i="23"/>
  <c r="AE25" i="23"/>
  <c r="AB25" i="23"/>
  <c r="Y25" i="23"/>
  <c r="H25" i="23"/>
  <c r="J25" i="23" s="1"/>
  <c r="AN24" i="23"/>
  <c r="AE24" i="23"/>
  <c r="AB24" i="23"/>
  <c r="Y24" i="23"/>
  <c r="H24" i="23"/>
  <c r="AG24" i="23" s="1"/>
  <c r="AN23" i="23"/>
  <c r="AE23" i="23"/>
  <c r="AB23" i="23"/>
  <c r="Y23" i="23"/>
  <c r="H23" i="23"/>
  <c r="J23" i="23" s="1"/>
  <c r="AN22" i="23"/>
  <c r="AE22" i="23"/>
  <c r="AB22" i="23"/>
  <c r="Y22" i="23"/>
  <c r="H22" i="23"/>
  <c r="AG22" i="23" s="1"/>
  <c r="AN21" i="23"/>
  <c r="AE21" i="23"/>
  <c r="AB21" i="23"/>
  <c r="Y21" i="23"/>
  <c r="H21" i="23"/>
  <c r="M21" i="23" s="1"/>
  <c r="AN20" i="23"/>
  <c r="AE20" i="23"/>
  <c r="AB20" i="23"/>
  <c r="Y20" i="23"/>
  <c r="H20" i="23"/>
  <c r="M20" i="23" s="1"/>
  <c r="AN19" i="23"/>
  <c r="AE19" i="23"/>
  <c r="AB19" i="23"/>
  <c r="Y19" i="23"/>
  <c r="H19" i="23"/>
  <c r="AG19" i="23" s="1"/>
  <c r="AN18" i="23"/>
  <c r="AE18" i="23"/>
  <c r="AB18" i="23"/>
  <c r="Y18" i="23"/>
  <c r="H18" i="23"/>
  <c r="M18" i="23" s="1"/>
  <c r="AN17" i="23"/>
  <c r="AE17" i="23"/>
  <c r="AB17" i="23"/>
  <c r="Y17" i="23"/>
  <c r="H17" i="23"/>
  <c r="L17" i="23" s="1"/>
  <c r="AN16" i="23"/>
  <c r="AE16" i="23"/>
  <c r="AB16" i="23"/>
  <c r="Y16" i="23"/>
  <c r="H16" i="23"/>
  <c r="AG16" i="23" s="1"/>
  <c r="AN15" i="23"/>
  <c r="AE15" i="23"/>
  <c r="AB15" i="23"/>
  <c r="Y15" i="23"/>
  <c r="H15" i="23"/>
  <c r="J15" i="23" s="1"/>
  <c r="AN14" i="23"/>
  <c r="AE14" i="23"/>
  <c r="AB14" i="23"/>
  <c r="Y14" i="23"/>
  <c r="H14" i="23"/>
  <c r="J14" i="23" s="1"/>
  <c r="AN13" i="23"/>
  <c r="AE13" i="23"/>
  <c r="AB13" i="23"/>
  <c r="Y13" i="23"/>
  <c r="H13" i="23"/>
  <c r="J13" i="23" s="1"/>
  <c r="AN12" i="23"/>
  <c r="AE12" i="23"/>
  <c r="AB12" i="23"/>
  <c r="Y12" i="23"/>
  <c r="H12" i="23"/>
  <c r="J12" i="23" s="1"/>
  <c r="AN11" i="23"/>
  <c r="AE11" i="23"/>
  <c r="AB11" i="23"/>
  <c r="Y11" i="23"/>
  <c r="H11" i="23"/>
  <c r="J11" i="23" s="1"/>
  <c r="AN10" i="23"/>
  <c r="AE10" i="23"/>
  <c r="AB10" i="23"/>
  <c r="Y10" i="23"/>
  <c r="H10" i="23"/>
  <c r="M10" i="23" s="1"/>
  <c r="AN9" i="23"/>
  <c r="AE9" i="23"/>
  <c r="AB9" i="23"/>
  <c r="Y9" i="23"/>
  <c r="H9" i="23"/>
  <c r="M9" i="23" s="1"/>
  <c r="AN8" i="23"/>
  <c r="AE8" i="23"/>
  <c r="AB8" i="23"/>
  <c r="Y8" i="23"/>
  <c r="H8" i="23"/>
  <c r="AG8" i="23" s="1"/>
  <c r="AN7" i="23"/>
  <c r="AE7" i="23"/>
  <c r="AB7" i="23"/>
  <c r="Y7" i="23"/>
  <c r="H7" i="23"/>
  <c r="M7" i="23" s="1"/>
  <c r="AN6" i="23"/>
  <c r="AE6" i="23"/>
  <c r="AB6" i="23"/>
  <c r="Y6" i="23"/>
  <c r="H6" i="23"/>
  <c r="L6" i="23" s="1"/>
  <c r="H6" i="20"/>
  <c r="J6" i="20" s="1"/>
  <c r="AH37" i="20"/>
  <c r="AG37" i="20"/>
  <c r="AF37" i="20"/>
  <c r="AE37" i="20"/>
  <c r="AD37" i="20"/>
  <c r="AC37" i="20"/>
  <c r="AA37" i="20"/>
  <c r="Y37" i="20"/>
  <c r="W37" i="20"/>
  <c r="V37" i="20"/>
  <c r="T37" i="20"/>
  <c r="S37" i="20"/>
  <c r="Q37" i="20"/>
  <c r="P37" i="20"/>
  <c r="M37" i="20"/>
  <c r="L37" i="20"/>
  <c r="K37" i="20"/>
  <c r="I37" i="20"/>
  <c r="G37" i="20"/>
  <c r="F37" i="20"/>
  <c r="E37" i="20"/>
  <c r="D37" i="20"/>
  <c r="C37" i="20"/>
  <c r="B37" i="20"/>
  <c r="AJ36" i="20"/>
  <c r="AI36" i="20"/>
  <c r="X36" i="20"/>
  <c r="U36" i="20"/>
  <c r="R36" i="20"/>
  <c r="N36" i="20"/>
  <c r="O36" i="20" s="1"/>
  <c r="H36" i="20"/>
  <c r="J36" i="20" s="1"/>
  <c r="AJ35" i="20"/>
  <c r="AI35" i="20"/>
  <c r="X35" i="20"/>
  <c r="U35" i="20"/>
  <c r="R35" i="20"/>
  <c r="N35" i="20"/>
  <c r="O35" i="20" s="1"/>
  <c r="H35" i="20"/>
  <c r="Z35" i="20" s="1"/>
  <c r="AJ34" i="20"/>
  <c r="AI34" i="20"/>
  <c r="X34" i="20"/>
  <c r="U34" i="20"/>
  <c r="R34" i="20"/>
  <c r="N34" i="20"/>
  <c r="O34" i="20" s="1"/>
  <c r="H34" i="20"/>
  <c r="J34" i="20" s="1"/>
  <c r="AJ33" i="20"/>
  <c r="AI33" i="20"/>
  <c r="X33" i="20"/>
  <c r="U33" i="20"/>
  <c r="R33" i="20"/>
  <c r="N33" i="20"/>
  <c r="O33" i="20" s="1"/>
  <c r="H33" i="20"/>
  <c r="AB33" i="20" s="1"/>
  <c r="AJ32" i="20"/>
  <c r="AI32" i="20"/>
  <c r="X32" i="20"/>
  <c r="U32" i="20"/>
  <c r="R32" i="20"/>
  <c r="N32" i="20"/>
  <c r="O32" i="20" s="1"/>
  <c r="H32" i="20"/>
  <c r="AB32" i="20" s="1"/>
  <c r="AJ31" i="20"/>
  <c r="AI31" i="20"/>
  <c r="Z31" i="20"/>
  <c r="X31" i="20"/>
  <c r="U31" i="20"/>
  <c r="R31" i="20"/>
  <c r="N31" i="20"/>
  <c r="O31" i="20" s="1"/>
  <c r="H31" i="20"/>
  <c r="AB31" i="20" s="1"/>
  <c r="AJ30" i="20"/>
  <c r="AI30" i="20"/>
  <c r="X30" i="20"/>
  <c r="U30" i="20"/>
  <c r="R30" i="20"/>
  <c r="N30" i="20"/>
  <c r="O30" i="20" s="1"/>
  <c r="H30" i="20"/>
  <c r="AB30" i="20" s="1"/>
  <c r="AJ29" i="20"/>
  <c r="AI29" i="20"/>
  <c r="X29" i="20"/>
  <c r="U29" i="20"/>
  <c r="R29" i="20"/>
  <c r="N29" i="20"/>
  <c r="O29" i="20" s="1"/>
  <c r="H29" i="20"/>
  <c r="AB29" i="20" s="1"/>
  <c r="AJ28" i="20"/>
  <c r="AI28" i="20"/>
  <c r="X28" i="20"/>
  <c r="U28" i="20"/>
  <c r="R28" i="20"/>
  <c r="N28" i="20"/>
  <c r="O28" i="20" s="1"/>
  <c r="H28" i="20"/>
  <c r="J28" i="20" s="1"/>
  <c r="AJ27" i="20"/>
  <c r="AI27" i="20"/>
  <c r="X27" i="20"/>
  <c r="U27" i="20"/>
  <c r="R27" i="20"/>
  <c r="N27" i="20"/>
  <c r="O27" i="20" s="1"/>
  <c r="H27" i="20"/>
  <c r="Z27" i="20" s="1"/>
  <c r="AJ26" i="20"/>
  <c r="AI26" i="20"/>
  <c r="X26" i="20"/>
  <c r="U26" i="20"/>
  <c r="R26" i="20"/>
  <c r="N26" i="20"/>
  <c r="O26" i="20" s="1"/>
  <c r="H26" i="20"/>
  <c r="J26" i="20" s="1"/>
  <c r="AJ25" i="20"/>
  <c r="AI25" i="20"/>
  <c r="X25" i="20"/>
  <c r="U25" i="20"/>
  <c r="R25" i="20"/>
  <c r="N25" i="20"/>
  <c r="O25" i="20" s="1"/>
  <c r="H25" i="20"/>
  <c r="AB25" i="20" s="1"/>
  <c r="AJ24" i="20"/>
  <c r="AI24" i="20"/>
  <c r="X24" i="20"/>
  <c r="U24" i="20"/>
  <c r="R24" i="20"/>
  <c r="N24" i="20"/>
  <c r="O24" i="20" s="1"/>
  <c r="H24" i="20"/>
  <c r="AB24" i="20" s="1"/>
  <c r="AJ23" i="20"/>
  <c r="AI23" i="20"/>
  <c r="X23" i="20"/>
  <c r="U23" i="20"/>
  <c r="R23" i="20"/>
  <c r="N23" i="20"/>
  <c r="O23" i="20" s="1"/>
  <c r="H23" i="20"/>
  <c r="AB23" i="20" s="1"/>
  <c r="AJ22" i="20"/>
  <c r="AI22" i="20"/>
  <c r="X22" i="20"/>
  <c r="U22" i="20"/>
  <c r="R22" i="20"/>
  <c r="N22" i="20"/>
  <c r="O22" i="20" s="1"/>
  <c r="H22" i="20"/>
  <c r="AB22" i="20" s="1"/>
  <c r="AJ21" i="20"/>
  <c r="AI21" i="20"/>
  <c r="X21" i="20"/>
  <c r="U21" i="20"/>
  <c r="R21" i="20"/>
  <c r="N21" i="20"/>
  <c r="O21" i="20" s="1"/>
  <c r="H21" i="20"/>
  <c r="J21" i="20" s="1"/>
  <c r="AJ20" i="20"/>
  <c r="AI20" i="20"/>
  <c r="X20" i="20"/>
  <c r="U20" i="20"/>
  <c r="R20" i="20"/>
  <c r="N20" i="20"/>
  <c r="O20" i="20" s="1"/>
  <c r="H20" i="20"/>
  <c r="J20" i="20" s="1"/>
  <c r="AJ19" i="20"/>
  <c r="AI19" i="20"/>
  <c r="X19" i="20"/>
  <c r="U19" i="20"/>
  <c r="R19" i="20"/>
  <c r="N19" i="20"/>
  <c r="O19" i="20" s="1"/>
  <c r="H19" i="20"/>
  <c r="Z19" i="20" s="1"/>
  <c r="AJ18" i="20"/>
  <c r="AI18" i="20"/>
  <c r="Z18" i="20"/>
  <c r="X18" i="20"/>
  <c r="U18" i="20"/>
  <c r="R18" i="20"/>
  <c r="N18" i="20"/>
  <c r="O18" i="20" s="1"/>
  <c r="H18" i="20"/>
  <c r="J18" i="20" s="1"/>
  <c r="AJ17" i="20"/>
  <c r="AI17" i="20"/>
  <c r="X17" i="20"/>
  <c r="U17" i="20"/>
  <c r="R17" i="20"/>
  <c r="N17" i="20"/>
  <c r="O17" i="20" s="1"/>
  <c r="H17" i="20"/>
  <c r="AB17" i="20" s="1"/>
  <c r="AJ16" i="20"/>
  <c r="AI16" i="20"/>
  <c r="X16" i="20"/>
  <c r="U16" i="20"/>
  <c r="R16" i="20"/>
  <c r="N16" i="20"/>
  <c r="O16" i="20" s="1"/>
  <c r="H16" i="20"/>
  <c r="AB16" i="20" s="1"/>
  <c r="AJ15" i="20"/>
  <c r="AI15" i="20"/>
  <c r="X15" i="20"/>
  <c r="U15" i="20"/>
  <c r="R15" i="20"/>
  <c r="N15" i="20"/>
  <c r="O15" i="20" s="1"/>
  <c r="H15" i="20"/>
  <c r="AB15" i="20" s="1"/>
  <c r="AJ14" i="20"/>
  <c r="AI14" i="20"/>
  <c r="X14" i="20"/>
  <c r="U14" i="20"/>
  <c r="R14" i="20"/>
  <c r="N14" i="20"/>
  <c r="O14" i="20" s="1"/>
  <c r="H14" i="20"/>
  <c r="AB14" i="20" s="1"/>
  <c r="AJ13" i="20"/>
  <c r="AI13" i="20"/>
  <c r="X13" i="20"/>
  <c r="U13" i="20"/>
  <c r="R13" i="20"/>
  <c r="N13" i="20"/>
  <c r="O13" i="20" s="1"/>
  <c r="H13" i="20"/>
  <c r="J13" i="20" s="1"/>
  <c r="AJ12" i="20"/>
  <c r="AI12" i="20"/>
  <c r="X12" i="20"/>
  <c r="U12" i="20"/>
  <c r="R12" i="20"/>
  <c r="N12" i="20"/>
  <c r="O12" i="20" s="1"/>
  <c r="H12" i="20"/>
  <c r="J12" i="20" s="1"/>
  <c r="AJ11" i="20"/>
  <c r="AI11" i="20"/>
  <c r="X11" i="20"/>
  <c r="U11" i="20"/>
  <c r="R11" i="20"/>
  <c r="N11" i="20"/>
  <c r="O11" i="20" s="1"/>
  <c r="H11" i="20"/>
  <c r="Z11" i="20" s="1"/>
  <c r="AJ10" i="20"/>
  <c r="AI10" i="20"/>
  <c r="X10" i="20"/>
  <c r="U10" i="20"/>
  <c r="R10" i="20"/>
  <c r="N10" i="20"/>
  <c r="O10" i="20" s="1"/>
  <c r="H10" i="20"/>
  <c r="AB10" i="20" s="1"/>
  <c r="AJ9" i="20"/>
  <c r="AI9" i="20"/>
  <c r="X9" i="20"/>
  <c r="U9" i="20"/>
  <c r="R9" i="20"/>
  <c r="N9" i="20"/>
  <c r="O9" i="20" s="1"/>
  <c r="H9" i="20"/>
  <c r="AB9" i="20" s="1"/>
  <c r="AJ8" i="20"/>
  <c r="AI8" i="20"/>
  <c r="X8" i="20"/>
  <c r="U8" i="20"/>
  <c r="R8" i="20"/>
  <c r="N8" i="20"/>
  <c r="O8" i="20" s="1"/>
  <c r="H8" i="20"/>
  <c r="AB8" i="20" s="1"/>
  <c r="AJ7" i="20"/>
  <c r="AI7" i="20"/>
  <c r="X7" i="20"/>
  <c r="U7" i="20"/>
  <c r="R7" i="20"/>
  <c r="N7" i="20"/>
  <c r="O7" i="20" s="1"/>
  <c r="H7" i="20"/>
  <c r="AB7" i="20" s="1"/>
  <c r="AJ6" i="20"/>
  <c r="AI6" i="20"/>
  <c r="Z6" i="20"/>
  <c r="X6" i="20"/>
  <c r="U6" i="20"/>
  <c r="R6" i="20"/>
  <c r="N6" i="20"/>
  <c r="O6" i="20" s="1"/>
  <c r="J37" i="26" l="1"/>
  <c r="L37" i="26"/>
  <c r="K39" i="26" s="1"/>
  <c r="M37" i="26"/>
  <c r="AG37" i="25"/>
  <c r="M37" i="25"/>
  <c r="L37" i="25"/>
  <c r="K39" i="25" s="1"/>
  <c r="J35" i="24"/>
  <c r="J34" i="24"/>
  <c r="L34" i="24"/>
  <c r="AG34" i="24"/>
  <c r="M32" i="24"/>
  <c r="T37" i="24"/>
  <c r="V37" i="24" s="1"/>
  <c r="L18" i="24"/>
  <c r="J27" i="24"/>
  <c r="J9" i="24"/>
  <c r="L22" i="24"/>
  <c r="M22" i="24"/>
  <c r="M16" i="24"/>
  <c r="M12" i="24"/>
  <c r="J26" i="24"/>
  <c r="J18" i="24"/>
  <c r="AG26" i="24"/>
  <c r="AG30" i="24"/>
  <c r="L9" i="24"/>
  <c r="AG9" i="24"/>
  <c r="L13" i="24"/>
  <c r="AG13" i="24"/>
  <c r="L26" i="24"/>
  <c r="L30" i="24"/>
  <c r="AG6" i="24"/>
  <c r="M13" i="24"/>
  <c r="J17" i="24"/>
  <c r="J19" i="24"/>
  <c r="AG21" i="24"/>
  <c r="M24" i="24"/>
  <c r="J6" i="24"/>
  <c r="L17" i="24"/>
  <c r="AG17" i="24"/>
  <c r="L21" i="24"/>
  <c r="J25" i="24"/>
  <c r="L6" i="24"/>
  <c r="AG10" i="24"/>
  <c r="AG14" i="24"/>
  <c r="M21" i="24"/>
  <c r="L25" i="24"/>
  <c r="AG25" i="24"/>
  <c r="L29" i="24"/>
  <c r="AG29" i="24"/>
  <c r="J33" i="24"/>
  <c r="AG33" i="24"/>
  <c r="J10" i="24"/>
  <c r="J14" i="24"/>
  <c r="M29" i="24"/>
  <c r="L33" i="24"/>
  <c r="M8" i="24"/>
  <c r="L10" i="24"/>
  <c r="L14" i="24"/>
  <c r="AG18" i="24"/>
  <c r="J22" i="24"/>
  <c r="P37" i="24"/>
  <c r="Y37" i="24"/>
  <c r="AB37" i="24"/>
  <c r="AE37" i="24"/>
  <c r="AN37" i="24"/>
  <c r="AO37" i="24"/>
  <c r="L8" i="24"/>
  <c r="AG8" i="24"/>
  <c r="M11" i="24"/>
  <c r="L16" i="24"/>
  <c r="AG16" i="24"/>
  <c r="M19" i="24"/>
  <c r="L24" i="24"/>
  <c r="AG24" i="24"/>
  <c r="M27" i="24"/>
  <c r="L32" i="24"/>
  <c r="AG32" i="24"/>
  <c r="M35" i="24"/>
  <c r="J7" i="24"/>
  <c r="J15" i="24"/>
  <c r="J23" i="24"/>
  <c r="J31" i="24"/>
  <c r="L7" i="24"/>
  <c r="AG7" i="24"/>
  <c r="J12" i="24"/>
  <c r="L15" i="24"/>
  <c r="AG15" i="24"/>
  <c r="J20" i="24"/>
  <c r="L23" i="24"/>
  <c r="AG23" i="24"/>
  <c r="J28" i="24"/>
  <c r="L31" i="24"/>
  <c r="AG31" i="24"/>
  <c r="J36" i="24"/>
  <c r="L12" i="24"/>
  <c r="L20" i="24"/>
  <c r="AG20" i="24"/>
  <c r="L28" i="24"/>
  <c r="AG28" i="24"/>
  <c r="L36" i="24"/>
  <c r="AG36" i="24"/>
  <c r="H37" i="24"/>
  <c r="L37" i="24" s="1"/>
  <c r="K39" i="24" s="1"/>
  <c r="J11" i="24"/>
  <c r="L11" i="24"/>
  <c r="L19" i="24"/>
  <c r="L27" i="24"/>
  <c r="L35" i="24"/>
  <c r="L30" i="23"/>
  <c r="J30" i="23"/>
  <c r="AG30" i="23"/>
  <c r="T37" i="23"/>
  <c r="V37" i="23" s="1"/>
  <c r="Z28" i="20"/>
  <c r="Z15" i="20"/>
  <c r="Z12" i="20"/>
  <c r="J24" i="20"/>
  <c r="L31" i="23"/>
  <c r="J31" i="23"/>
  <c r="AE37" i="23"/>
  <c r="I37" i="23"/>
  <c r="M35" i="23"/>
  <c r="AG31" i="23"/>
  <c r="P37" i="23"/>
  <c r="L24" i="23"/>
  <c r="L14" i="23"/>
  <c r="L12" i="23"/>
  <c r="J34" i="23"/>
  <c r="J32" i="23"/>
  <c r="M26" i="23"/>
  <c r="M24" i="23"/>
  <c r="M16" i="23"/>
  <c r="J10" i="23"/>
  <c r="M14" i="23"/>
  <c r="L26" i="23"/>
  <c r="L22" i="23"/>
  <c r="M6" i="23"/>
  <c r="L10" i="23"/>
  <c r="M28" i="23"/>
  <c r="J22" i="23"/>
  <c r="J20" i="23"/>
  <c r="J18" i="23"/>
  <c r="J8" i="23"/>
  <c r="M12" i="23"/>
  <c r="L27" i="23"/>
  <c r="L15" i="23"/>
  <c r="M29" i="23"/>
  <c r="J21" i="23"/>
  <c r="L25" i="23"/>
  <c r="L13" i="23"/>
  <c r="M15" i="23"/>
  <c r="J19" i="23"/>
  <c r="M25" i="23"/>
  <c r="M17" i="23"/>
  <c r="J36" i="23"/>
  <c r="J9" i="23"/>
  <c r="M27" i="23"/>
  <c r="J33" i="23"/>
  <c r="J7" i="23"/>
  <c r="L23" i="23"/>
  <c r="L11" i="23"/>
  <c r="M13" i="23"/>
  <c r="J29" i="23"/>
  <c r="J17" i="23"/>
  <c r="J28" i="23"/>
  <c r="J16" i="23"/>
  <c r="L36" i="23"/>
  <c r="L21" i="23"/>
  <c r="L9" i="23"/>
  <c r="M23" i="23"/>
  <c r="M11" i="23"/>
  <c r="AB37" i="23"/>
  <c r="L34" i="23"/>
  <c r="L20" i="23"/>
  <c r="L8" i="23"/>
  <c r="M22" i="23"/>
  <c r="L33" i="23"/>
  <c r="L19" i="23"/>
  <c r="L7" i="23"/>
  <c r="L32" i="23"/>
  <c r="L18" i="23"/>
  <c r="M34" i="23"/>
  <c r="M8" i="23"/>
  <c r="J6" i="23"/>
  <c r="J24" i="23"/>
  <c r="M19" i="23"/>
  <c r="L16" i="23"/>
  <c r="AO37" i="23"/>
  <c r="Y37" i="23"/>
  <c r="AG28" i="23"/>
  <c r="J8" i="20"/>
  <c r="H37" i="23"/>
  <c r="J7" i="20"/>
  <c r="AB27" i="20"/>
  <c r="J29" i="20"/>
  <c r="AG27" i="23"/>
  <c r="H37" i="20"/>
  <c r="J37" i="20" s="1"/>
  <c r="Z14" i="20"/>
  <c r="J22" i="20"/>
  <c r="AG6" i="23"/>
  <c r="J16" i="20"/>
  <c r="Z20" i="20"/>
  <c r="Z30" i="20"/>
  <c r="Z23" i="20"/>
  <c r="AG11" i="23"/>
  <c r="AG32" i="23"/>
  <c r="J14" i="20"/>
  <c r="AJ37" i="20"/>
  <c r="J23" i="20"/>
  <c r="Z7" i="20"/>
  <c r="J32" i="20"/>
  <c r="Z36" i="20"/>
  <c r="AG14" i="23"/>
  <c r="J30" i="20"/>
  <c r="Z13" i="20"/>
  <c r="J15" i="20"/>
  <c r="Z29" i="20"/>
  <c r="X37" i="20"/>
  <c r="Z22" i="20"/>
  <c r="J31" i="20"/>
  <c r="R37" i="20"/>
  <c r="AI37" i="20"/>
  <c r="AN37" i="23"/>
  <c r="AG9" i="23"/>
  <c r="AG17" i="23"/>
  <c r="AG25" i="23"/>
  <c r="AG36" i="23"/>
  <c r="AG12" i="23"/>
  <c r="AG20" i="23"/>
  <c r="AG7" i="23"/>
  <c r="AG15" i="23"/>
  <c r="AG23" i="23"/>
  <c r="AG33" i="23"/>
  <c r="AG10" i="23"/>
  <c r="AG18" i="23"/>
  <c r="AG26" i="23"/>
  <c r="AG13" i="23"/>
  <c r="AG21" i="23"/>
  <c r="AG29" i="23"/>
  <c r="AB35" i="20"/>
  <c r="AB11" i="20"/>
  <c r="AB19" i="20"/>
  <c r="AB6" i="20"/>
  <c r="Z9" i="20"/>
  <c r="J11" i="20"/>
  <c r="Z17" i="20"/>
  <c r="J19" i="20"/>
  <c r="Z25" i="20"/>
  <c r="J27" i="20"/>
  <c r="Z33" i="20"/>
  <c r="J35" i="20"/>
  <c r="N37" i="20"/>
  <c r="O37" i="20" s="1"/>
  <c r="J9" i="20"/>
  <c r="AB12" i="20"/>
  <c r="J17" i="20"/>
  <c r="AB20" i="20"/>
  <c r="J25" i="20"/>
  <c r="AB28" i="20"/>
  <c r="J33" i="20"/>
  <c r="AB36" i="20"/>
  <c r="Z10" i="20"/>
  <c r="Z26" i="20"/>
  <c r="Z34" i="20"/>
  <c r="AB18" i="20"/>
  <c r="Z21" i="20"/>
  <c r="AB26" i="20"/>
  <c r="AB34" i="20"/>
  <c r="Z8" i="20"/>
  <c r="J10" i="20"/>
  <c r="AB13" i="20"/>
  <c r="Z16" i="20"/>
  <c r="AB21" i="20"/>
  <c r="Z24" i="20"/>
  <c r="Z32" i="20"/>
  <c r="M37" i="24" l="1"/>
  <c r="J37" i="24"/>
  <c r="AG37" i="24"/>
  <c r="AB37" i="20"/>
  <c r="Z37" i="20"/>
  <c r="J37" i="23"/>
  <c r="L37" i="23"/>
  <c r="K39" i="23" s="1"/>
  <c r="M37" i="23"/>
  <c r="AG37" i="23"/>
  <c r="AH37" i="19"/>
  <c r="AG37" i="19"/>
  <c r="AC37" i="19"/>
  <c r="AA37" i="19"/>
  <c r="Y37" i="19"/>
  <c r="W37" i="19"/>
  <c r="V37" i="19"/>
  <c r="T37" i="19"/>
  <c r="S37" i="19"/>
  <c r="Q37" i="19"/>
  <c r="P37" i="19"/>
  <c r="M37" i="19"/>
  <c r="L37" i="19"/>
  <c r="K37" i="19"/>
  <c r="I37" i="19"/>
  <c r="G37" i="19"/>
  <c r="F37" i="19"/>
  <c r="E37" i="19"/>
  <c r="D37" i="19"/>
  <c r="C37" i="19"/>
  <c r="B37" i="19"/>
  <c r="AJ36" i="19"/>
  <c r="AI36" i="19"/>
  <c r="X36" i="19"/>
  <c r="U36" i="19"/>
  <c r="R36" i="19"/>
  <c r="N36" i="19"/>
  <c r="O36" i="19" s="1"/>
  <c r="H36" i="19"/>
  <c r="J36" i="19" s="1"/>
  <c r="AJ35" i="19"/>
  <c r="AI35" i="19"/>
  <c r="X35" i="19"/>
  <c r="U35" i="19"/>
  <c r="R35" i="19"/>
  <c r="N35" i="19"/>
  <c r="O35" i="19" s="1"/>
  <c r="H35" i="19"/>
  <c r="J35" i="19" s="1"/>
  <c r="AJ34" i="19"/>
  <c r="AI34" i="19"/>
  <c r="X34" i="19"/>
  <c r="U34" i="19"/>
  <c r="R34" i="19"/>
  <c r="N34" i="19"/>
  <c r="O34" i="19" s="1"/>
  <c r="H34" i="19"/>
  <c r="AB34" i="19" s="1"/>
  <c r="AJ33" i="19"/>
  <c r="AI33" i="19"/>
  <c r="X33" i="19"/>
  <c r="U33" i="19"/>
  <c r="R33" i="19"/>
  <c r="N33" i="19"/>
  <c r="O33" i="19" s="1"/>
  <c r="H33" i="19"/>
  <c r="J33" i="19" s="1"/>
  <c r="AJ32" i="19"/>
  <c r="AI32" i="19"/>
  <c r="X32" i="19"/>
  <c r="U32" i="19"/>
  <c r="R32" i="19"/>
  <c r="N32" i="19"/>
  <c r="O32" i="19" s="1"/>
  <c r="H32" i="19"/>
  <c r="AB32" i="19" s="1"/>
  <c r="AJ31" i="19"/>
  <c r="AI31" i="19"/>
  <c r="X31" i="19"/>
  <c r="U31" i="19"/>
  <c r="R31" i="19"/>
  <c r="N31" i="19"/>
  <c r="O31" i="19" s="1"/>
  <c r="H31" i="19"/>
  <c r="AB31" i="19" s="1"/>
  <c r="AJ30" i="19"/>
  <c r="AI30" i="19"/>
  <c r="X30" i="19"/>
  <c r="U30" i="19"/>
  <c r="R30" i="19"/>
  <c r="N30" i="19"/>
  <c r="O30" i="19" s="1"/>
  <c r="H30" i="19"/>
  <c r="J30" i="19" s="1"/>
  <c r="AJ29" i="19"/>
  <c r="AI29" i="19"/>
  <c r="X29" i="19"/>
  <c r="U29" i="19"/>
  <c r="R29" i="19"/>
  <c r="N29" i="19"/>
  <c r="O29" i="19" s="1"/>
  <c r="H29" i="19"/>
  <c r="Z29" i="19" s="1"/>
  <c r="AJ28" i="19"/>
  <c r="AI28" i="19"/>
  <c r="X28" i="19"/>
  <c r="U28" i="19"/>
  <c r="R28" i="19"/>
  <c r="N28" i="19"/>
  <c r="O28" i="19" s="1"/>
  <c r="H28" i="19"/>
  <c r="J28" i="19" s="1"/>
  <c r="AJ27" i="19"/>
  <c r="AI27" i="19"/>
  <c r="X27" i="19"/>
  <c r="U27" i="19"/>
  <c r="R27" i="19"/>
  <c r="N27" i="19"/>
  <c r="O27" i="19" s="1"/>
  <c r="H27" i="19"/>
  <c r="J27" i="19" s="1"/>
  <c r="AJ26" i="19"/>
  <c r="AI26" i="19"/>
  <c r="X26" i="19"/>
  <c r="U26" i="19"/>
  <c r="R26" i="19"/>
  <c r="N26" i="19"/>
  <c r="O26" i="19" s="1"/>
  <c r="H26" i="19"/>
  <c r="AB26" i="19" s="1"/>
  <c r="AJ25" i="19"/>
  <c r="AI25" i="19"/>
  <c r="X25" i="19"/>
  <c r="U25" i="19"/>
  <c r="R25" i="19"/>
  <c r="N25" i="19"/>
  <c r="O25" i="19" s="1"/>
  <c r="H25" i="19"/>
  <c r="AB25" i="19" s="1"/>
  <c r="AJ24" i="19"/>
  <c r="AI24" i="19"/>
  <c r="X24" i="19"/>
  <c r="U24" i="19"/>
  <c r="R24" i="19"/>
  <c r="N24" i="19"/>
  <c r="O24" i="19" s="1"/>
  <c r="H24" i="19"/>
  <c r="J24" i="19" s="1"/>
  <c r="AJ23" i="19"/>
  <c r="AI23" i="19"/>
  <c r="X23" i="19"/>
  <c r="U23" i="19"/>
  <c r="R23" i="19"/>
  <c r="N23" i="19"/>
  <c r="O23" i="19" s="1"/>
  <c r="H23" i="19"/>
  <c r="AB23" i="19" s="1"/>
  <c r="AJ22" i="19"/>
  <c r="AI22" i="19"/>
  <c r="Z22" i="19"/>
  <c r="X22" i="19"/>
  <c r="U22" i="19"/>
  <c r="R22" i="19"/>
  <c r="N22" i="19"/>
  <c r="O22" i="19" s="1"/>
  <c r="H22" i="19"/>
  <c r="AB22" i="19" s="1"/>
  <c r="AJ21" i="19"/>
  <c r="AI21" i="19"/>
  <c r="X21" i="19"/>
  <c r="U21" i="19"/>
  <c r="R21" i="19"/>
  <c r="N21" i="19"/>
  <c r="O21" i="19" s="1"/>
  <c r="J21" i="19"/>
  <c r="H21" i="19"/>
  <c r="Z21" i="19" s="1"/>
  <c r="AJ20" i="19"/>
  <c r="AI20" i="19"/>
  <c r="X20" i="19"/>
  <c r="U20" i="19"/>
  <c r="R20" i="19"/>
  <c r="N20" i="19"/>
  <c r="O20" i="19" s="1"/>
  <c r="H20" i="19"/>
  <c r="J20" i="19" s="1"/>
  <c r="AJ19" i="19"/>
  <c r="AI19" i="19"/>
  <c r="Z19" i="19"/>
  <c r="X19" i="19"/>
  <c r="U19" i="19"/>
  <c r="R19" i="19"/>
  <c r="O19" i="19"/>
  <c r="N19" i="19"/>
  <c r="H19" i="19"/>
  <c r="J19" i="19" s="1"/>
  <c r="AJ18" i="19"/>
  <c r="AK18" i="19" s="1"/>
  <c r="AI18" i="19"/>
  <c r="Z18" i="19"/>
  <c r="X18" i="19"/>
  <c r="U18" i="19"/>
  <c r="R18" i="19"/>
  <c r="N18" i="19"/>
  <c r="O18" i="19" s="1"/>
  <c r="H18" i="19"/>
  <c r="AB18" i="19" s="1"/>
  <c r="AJ17" i="19"/>
  <c r="AI17" i="19"/>
  <c r="X17" i="19"/>
  <c r="U17" i="19"/>
  <c r="R17" i="19"/>
  <c r="N17" i="19"/>
  <c r="O17" i="19" s="1"/>
  <c r="H17" i="19"/>
  <c r="AB17" i="19" s="1"/>
  <c r="AJ16" i="19"/>
  <c r="AI16" i="19"/>
  <c r="X16" i="19"/>
  <c r="U16" i="19"/>
  <c r="R16" i="19"/>
  <c r="N16" i="19"/>
  <c r="O16" i="19" s="1"/>
  <c r="H16" i="19"/>
  <c r="Z16" i="19" s="1"/>
  <c r="AJ15" i="19"/>
  <c r="AI15" i="19"/>
  <c r="X15" i="19"/>
  <c r="U15" i="19"/>
  <c r="R15" i="19"/>
  <c r="N15" i="19"/>
  <c r="O15" i="19" s="1"/>
  <c r="H15" i="19"/>
  <c r="J15" i="19" s="1"/>
  <c r="AJ14" i="19"/>
  <c r="AI14" i="19"/>
  <c r="X14" i="19"/>
  <c r="U14" i="19"/>
  <c r="R14" i="19"/>
  <c r="N14" i="19"/>
  <c r="O14" i="19" s="1"/>
  <c r="H14" i="19"/>
  <c r="J14" i="19" s="1"/>
  <c r="AJ13" i="19"/>
  <c r="AI13" i="19"/>
  <c r="X13" i="19"/>
  <c r="U13" i="19"/>
  <c r="R13" i="19"/>
  <c r="N13" i="19"/>
  <c r="O13" i="19" s="1"/>
  <c r="H13" i="19"/>
  <c r="AB13" i="19" s="1"/>
  <c r="AJ12" i="19"/>
  <c r="AI12" i="19"/>
  <c r="X12" i="19"/>
  <c r="U12" i="19"/>
  <c r="R12" i="19"/>
  <c r="N12" i="19"/>
  <c r="O12" i="19" s="1"/>
  <c r="H12" i="19"/>
  <c r="AB12" i="19" s="1"/>
  <c r="AJ11" i="19"/>
  <c r="AI11" i="19"/>
  <c r="X11" i="19"/>
  <c r="U11" i="19"/>
  <c r="R11" i="19"/>
  <c r="N11" i="19"/>
  <c r="O11" i="19" s="1"/>
  <c r="H11" i="19"/>
  <c r="AB11" i="19" s="1"/>
  <c r="AJ10" i="19"/>
  <c r="AI10" i="19"/>
  <c r="Z10" i="19"/>
  <c r="X10" i="19"/>
  <c r="U10" i="19"/>
  <c r="R10" i="19"/>
  <c r="N10" i="19"/>
  <c r="O10" i="19" s="1"/>
  <c r="H10" i="19"/>
  <c r="AB10" i="19" s="1"/>
  <c r="AJ9" i="19"/>
  <c r="AI9" i="19"/>
  <c r="X9" i="19"/>
  <c r="U9" i="19"/>
  <c r="R9" i="19"/>
  <c r="N9" i="19"/>
  <c r="O9" i="19" s="1"/>
  <c r="H9" i="19"/>
  <c r="AB9" i="19" s="1"/>
  <c r="AJ8" i="19"/>
  <c r="AI8" i="19"/>
  <c r="X8" i="19"/>
  <c r="U8" i="19"/>
  <c r="R8" i="19"/>
  <c r="N8" i="19"/>
  <c r="O8" i="19" s="1"/>
  <c r="H8" i="19"/>
  <c r="Z8" i="19" s="1"/>
  <c r="AJ7" i="19"/>
  <c r="AI7" i="19"/>
  <c r="X7" i="19"/>
  <c r="U7" i="19"/>
  <c r="R7" i="19"/>
  <c r="N7" i="19"/>
  <c r="O7" i="19" s="1"/>
  <c r="H7" i="19"/>
  <c r="AB7" i="19" s="1"/>
  <c r="AI6" i="19"/>
  <c r="X6" i="19"/>
  <c r="U6" i="19"/>
  <c r="R6" i="19"/>
  <c r="N6" i="19"/>
  <c r="H6" i="19"/>
  <c r="Z17" i="19" l="1"/>
  <c r="J8" i="19"/>
  <c r="Z14" i="19"/>
  <c r="J22" i="19"/>
  <c r="R37" i="19"/>
  <c r="J26" i="19"/>
  <c r="Z35" i="19"/>
  <c r="J18" i="19"/>
  <c r="J9" i="19"/>
  <c r="J34" i="19"/>
  <c r="N37" i="19"/>
  <c r="O37" i="19" s="1"/>
  <c r="J16" i="19"/>
  <c r="J12" i="19"/>
  <c r="J23" i="19"/>
  <c r="J31" i="19"/>
  <c r="X37" i="19"/>
  <c r="Z9" i="19"/>
  <c r="Z31" i="19"/>
  <c r="Z30" i="19"/>
  <c r="O6" i="19"/>
  <c r="Z27" i="19"/>
  <c r="J29" i="19"/>
  <c r="H37" i="19"/>
  <c r="Z37" i="19" s="1"/>
  <c r="J13" i="19"/>
  <c r="J10" i="19"/>
  <c r="J17" i="19"/>
  <c r="Z23" i="19"/>
  <c r="J25" i="19"/>
  <c r="AI37" i="19"/>
  <c r="AB15" i="19"/>
  <c r="Z6" i="19"/>
  <c r="AB8" i="19"/>
  <c r="Z11" i="19"/>
  <c r="AB16" i="19"/>
  <c r="AB21" i="19"/>
  <c r="Z24" i="19"/>
  <c r="AB29" i="19"/>
  <c r="Z32" i="19"/>
  <c r="AB6" i="19"/>
  <c r="AD6" i="19" s="1"/>
  <c r="AB24" i="19"/>
  <c r="J6" i="19"/>
  <c r="J11" i="19"/>
  <c r="AB14" i="19"/>
  <c r="AB19" i="19"/>
  <c r="AB27" i="19"/>
  <c r="J32" i="19"/>
  <c r="AB35" i="19"/>
  <c r="Z12" i="19"/>
  <c r="Z25" i="19"/>
  <c r="AB30" i="19"/>
  <c r="Z33" i="19"/>
  <c r="Z7" i="19"/>
  <c r="Z15" i="19"/>
  <c r="Z20" i="19"/>
  <c r="Z28" i="19"/>
  <c r="AB33" i="19"/>
  <c r="Z36" i="19"/>
  <c r="AB36" i="19"/>
  <c r="AB20" i="19"/>
  <c r="AB28" i="19"/>
  <c r="J7" i="19"/>
  <c r="Z13" i="19"/>
  <c r="Z26" i="19"/>
  <c r="Z34" i="19"/>
  <c r="J37" i="19" l="1"/>
  <c r="AB37" i="19"/>
  <c r="AJ6" i="19"/>
  <c r="AJ37" i="19" s="1"/>
  <c r="AD37" i="19"/>
  <c r="AB37" i="18" l="1"/>
  <c r="AA37" i="18"/>
  <c r="Y37" i="18"/>
  <c r="X37" i="18"/>
  <c r="W37" i="18"/>
  <c r="V37" i="18"/>
  <c r="U37" i="18"/>
  <c r="S37" i="18"/>
  <c r="R37" i="18"/>
  <c r="P37" i="18"/>
  <c r="O37" i="18"/>
  <c r="N37" i="18"/>
  <c r="K37" i="18"/>
  <c r="I37" i="18"/>
  <c r="G37" i="18"/>
  <c r="F37" i="18"/>
  <c r="E37" i="18"/>
  <c r="D37" i="18"/>
  <c r="C37" i="18"/>
  <c r="B37" i="18"/>
  <c r="AD36" i="18"/>
  <c r="AC36" i="18"/>
  <c r="T36" i="18"/>
  <c r="Q36" i="18"/>
  <c r="M36" i="18"/>
  <c r="H36" i="18"/>
  <c r="J36" i="18" s="1"/>
  <c r="AC35" i="18"/>
  <c r="T35" i="18"/>
  <c r="Q35" i="18"/>
  <c r="L35" i="18"/>
  <c r="AD35" i="18" s="1"/>
  <c r="H35" i="18"/>
  <c r="J35" i="18" s="1"/>
  <c r="AC34" i="18"/>
  <c r="T34" i="18"/>
  <c r="Q34" i="18"/>
  <c r="M34" i="18"/>
  <c r="L34" i="18"/>
  <c r="AD34" i="18" s="1"/>
  <c r="H34" i="18"/>
  <c r="J34" i="18" s="1"/>
  <c r="AC33" i="18"/>
  <c r="T33" i="18"/>
  <c r="Q33" i="18"/>
  <c r="L33" i="18"/>
  <c r="AD33" i="18" s="1"/>
  <c r="H33" i="18"/>
  <c r="J33" i="18" s="1"/>
  <c r="AC32" i="18"/>
  <c r="T32" i="18"/>
  <c r="Q32" i="18"/>
  <c r="M32" i="18"/>
  <c r="L32" i="18"/>
  <c r="AD32" i="18" s="1"/>
  <c r="H32" i="18"/>
  <c r="J32" i="18" s="1"/>
  <c r="AC31" i="18"/>
  <c r="T31" i="18"/>
  <c r="Q31" i="18"/>
  <c r="L31" i="18"/>
  <c r="AD31" i="18" s="1"/>
  <c r="H31" i="18"/>
  <c r="J31" i="18" s="1"/>
  <c r="AC30" i="18"/>
  <c r="T30" i="18"/>
  <c r="Q30" i="18"/>
  <c r="M30" i="18"/>
  <c r="L30" i="18"/>
  <c r="AD30" i="18" s="1"/>
  <c r="H30" i="18"/>
  <c r="J30" i="18" s="1"/>
  <c r="AC29" i="18"/>
  <c r="T29" i="18"/>
  <c r="Q29" i="18"/>
  <c r="L29" i="18"/>
  <c r="AD29" i="18" s="1"/>
  <c r="H29" i="18"/>
  <c r="J29" i="18" s="1"/>
  <c r="AC28" i="18"/>
  <c r="T28" i="18"/>
  <c r="Q28" i="18"/>
  <c r="M28" i="18"/>
  <c r="L28" i="18"/>
  <c r="AD28" i="18" s="1"/>
  <c r="H28" i="18"/>
  <c r="J28" i="18" s="1"/>
  <c r="AC27" i="18"/>
  <c r="T27" i="18"/>
  <c r="Q27" i="18"/>
  <c r="L27" i="18"/>
  <c r="AD27" i="18" s="1"/>
  <c r="H27" i="18"/>
  <c r="J27" i="18" s="1"/>
  <c r="AC26" i="18"/>
  <c r="T26" i="18"/>
  <c r="Q26" i="18"/>
  <c r="M26" i="18"/>
  <c r="L26" i="18"/>
  <c r="AD26" i="18" s="1"/>
  <c r="H26" i="18"/>
  <c r="J26" i="18" s="1"/>
  <c r="AC25" i="18"/>
  <c r="T25" i="18"/>
  <c r="Q25" i="18"/>
  <c r="L25" i="18"/>
  <c r="AD25" i="18" s="1"/>
  <c r="H25" i="18"/>
  <c r="J25" i="18" s="1"/>
  <c r="AC24" i="18"/>
  <c r="T24" i="18"/>
  <c r="Q24" i="18"/>
  <c r="M24" i="18"/>
  <c r="L24" i="18"/>
  <c r="AD24" i="18" s="1"/>
  <c r="H24" i="18"/>
  <c r="J24" i="18" s="1"/>
  <c r="AC23" i="18"/>
  <c r="T23" i="18"/>
  <c r="Q23" i="18"/>
  <c r="L23" i="18"/>
  <c r="AD23" i="18" s="1"/>
  <c r="H23" i="18"/>
  <c r="J23" i="18" s="1"/>
  <c r="AC22" i="18"/>
  <c r="T22" i="18"/>
  <c r="Q22" i="18"/>
  <c r="M22" i="18"/>
  <c r="L22" i="18"/>
  <c r="AD22" i="18" s="1"/>
  <c r="H22" i="18"/>
  <c r="J22" i="18" s="1"/>
  <c r="AC21" i="18"/>
  <c r="T21" i="18"/>
  <c r="Q21" i="18"/>
  <c r="L21" i="18"/>
  <c r="AD21" i="18" s="1"/>
  <c r="H21" i="18"/>
  <c r="J21" i="18" s="1"/>
  <c r="AC20" i="18"/>
  <c r="T20" i="18"/>
  <c r="Q20" i="18"/>
  <c r="M20" i="18"/>
  <c r="L20" i="18"/>
  <c r="AD20" i="18" s="1"/>
  <c r="H20" i="18"/>
  <c r="J20" i="18" s="1"/>
  <c r="AC19" i="18"/>
  <c r="T19" i="18"/>
  <c r="Q19" i="18"/>
  <c r="L19" i="18"/>
  <c r="AD19" i="18" s="1"/>
  <c r="H19" i="18"/>
  <c r="J19" i="18" s="1"/>
  <c r="AC18" i="18"/>
  <c r="T18" i="18"/>
  <c r="Q18" i="18"/>
  <c r="M18" i="18"/>
  <c r="L18" i="18"/>
  <c r="AD18" i="18" s="1"/>
  <c r="H18" i="18"/>
  <c r="J18" i="18" s="1"/>
  <c r="AC17" i="18"/>
  <c r="T17" i="18"/>
  <c r="Q17" i="18"/>
  <c r="L17" i="18"/>
  <c r="AD17" i="18" s="1"/>
  <c r="H17" i="18"/>
  <c r="J17" i="18" s="1"/>
  <c r="AC16" i="18"/>
  <c r="T16" i="18"/>
  <c r="Q16" i="18"/>
  <c r="M16" i="18"/>
  <c r="L16" i="18"/>
  <c r="AD16" i="18" s="1"/>
  <c r="H16" i="18"/>
  <c r="J16" i="18" s="1"/>
  <c r="AC15" i="18"/>
  <c r="T15" i="18"/>
  <c r="Q15" i="18"/>
  <c r="L15" i="18"/>
  <c r="AD15" i="18" s="1"/>
  <c r="H15" i="18"/>
  <c r="J15" i="18" s="1"/>
  <c r="AC14" i="18"/>
  <c r="T14" i="18"/>
  <c r="Q14" i="18"/>
  <c r="M14" i="18"/>
  <c r="L14" i="18"/>
  <c r="AD14" i="18" s="1"/>
  <c r="H14" i="18"/>
  <c r="J14" i="18" s="1"/>
  <c r="AC13" i="18"/>
  <c r="T13" i="18"/>
  <c r="Q13" i="18"/>
  <c r="L13" i="18"/>
  <c r="AD13" i="18" s="1"/>
  <c r="H13" i="18"/>
  <c r="J13" i="18" s="1"/>
  <c r="AC12" i="18"/>
  <c r="T12" i="18"/>
  <c r="Q12" i="18"/>
  <c r="L12" i="18"/>
  <c r="AD12" i="18" s="1"/>
  <c r="H12" i="18"/>
  <c r="J12" i="18" s="1"/>
  <c r="AC11" i="18"/>
  <c r="T11" i="18"/>
  <c r="Q11" i="18"/>
  <c r="L11" i="18"/>
  <c r="AD11" i="18" s="1"/>
  <c r="H11" i="18"/>
  <c r="J11" i="18" s="1"/>
  <c r="AC10" i="18"/>
  <c r="T10" i="18"/>
  <c r="Q10" i="18"/>
  <c r="L10" i="18"/>
  <c r="AD10" i="18" s="1"/>
  <c r="H10" i="18"/>
  <c r="J10" i="18" s="1"/>
  <c r="AC9" i="18"/>
  <c r="T9" i="18"/>
  <c r="Q9" i="18"/>
  <c r="L9" i="18"/>
  <c r="H9" i="18"/>
  <c r="J9" i="18" s="1"/>
  <c r="AD8" i="18"/>
  <c r="AC8" i="18"/>
  <c r="T8" i="18"/>
  <c r="Q8" i="18"/>
  <c r="M8" i="18"/>
  <c r="H8" i="18"/>
  <c r="J8" i="18" s="1"/>
  <c r="AD7" i="18"/>
  <c r="AC7" i="18"/>
  <c r="T7" i="18"/>
  <c r="Q7" i="18"/>
  <c r="M7" i="18"/>
  <c r="H7" i="18"/>
  <c r="J7" i="18" s="1"/>
  <c r="AD6" i="18"/>
  <c r="AC6" i="18"/>
  <c r="Z6" i="18"/>
  <c r="Z37" i="18" s="1"/>
  <c r="T6" i="18"/>
  <c r="Q6" i="18"/>
  <c r="M6" i="18"/>
  <c r="H6" i="18"/>
  <c r="J6" i="18" s="1"/>
  <c r="M12" i="18" l="1"/>
  <c r="M15" i="18"/>
  <c r="M19" i="18"/>
  <c r="M23" i="18"/>
  <c r="M27" i="18"/>
  <c r="M33" i="18"/>
  <c r="M10" i="18"/>
  <c r="M17" i="18"/>
  <c r="M21" i="18"/>
  <c r="M25" i="18"/>
  <c r="M29" i="18"/>
  <c r="M31" i="18"/>
  <c r="M35" i="18"/>
  <c r="L37" i="18"/>
  <c r="M37" i="18" s="1"/>
  <c r="M9" i="18"/>
  <c r="M11" i="18"/>
  <c r="M13" i="18"/>
  <c r="H37" i="18"/>
  <c r="J37" i="18"/>
  <c r="T37" i="18"/>
  <c r="AC37" i="18"/>
  <c r="AD9" i="18"/>
  <c r="AD37" i="18" s="1"/>
  <c r="AH37" i="17" l="1"/>
  <c r="AG37" i="17"/>
  <c r="AE37" i="17"/>
  <c r="AD37" i="17"/>
  <c r="AC37" i="17"/>
  <c r="AB37" i="17"/>
  <c r="AA37" i="17"/>
  <c r="Y37" i="17"/>
  <c r="X37" i="17"/>
  <c r="V37" i="17"/>
  <c r="U37" i="17"/>
  <c r="T37" i="17"/>
  <c r="R37" i="17"/>
  <c r="Q37" i="17"/>
  <c r="O37" i="17"/>
  <c r="P37" i="17" s="1"/>
  <c r="N37" i="17"/>
  <c r="K37" i="17"/>
  <c r="I37" i="17"/>
  <c r="G37" i="17"/>
  <c r="F37" i="17"/>
  <c r="E37" i="17"/>
  <c r="D37" i="17"/>
  <c r="C37" i="17"/>
  <c r="B37" i="17"/>
  <c r="AI36" i="17"/>
  <c r="Z36" i="17"/>
  <c r="W36" i="17"/>
  <c r="S36" i="17"/>
  <c r="P36" i="17"/>
  <c r="L36" i="17"/>
  <c r="M36" i="17" s="1"/>
  <c r="H36" i="17"/>
  <c r="J36" i="17" s="1"/>
  <c r="AJ35" i="17"/>
  <c r="AI35" i="17"/>
  <c r="Z35" i="17"/>
  <c r="W35" i="17"/>
  <c r="S35" i="17"/>
  <c r="P35" i="17"/>
  <c r="L35" i="17"/>
  <c r="M35" i="17" s="1"/>
  <c r="H35" i="17"/>
  <c r="J35" i="17" s="1"/>
  <c r="AI34" i="17"/>
  <c r="Z34" i="17"/>
  <c r="W34" i="17"/>
  <c r="S34" i="17"/>
  <c r="P34" i="17"/>
  <c r="L34" i="17"/>
  <c r="M34" i="17" s="1"/>
  <c r="H34" i="17"/>
  <c r="J34" i="17" s="1"/>
  <c r="AJ33" i="17"/>
  <c r="AI33" i="17"/>
  <c r="Z33" i="17"/>
  <c r="W33" i="17"/>
  <c r="S33" i="17"/>
  <c r="P33" i="17"/>
  <c r="L33" i="17"/>
  <c r="M33" i="17" s="1"/>
  <c r="H33" i="17"/>
  <c r="J33" i="17" s="1"/>
  <c r="AI32" i="17"/>
  <c r="Z32" i="17"/>
  <c r="W32" i="17"/>
  <c r="S32" i="17"/>
  <c r="P32" i="17"/>
  <c r="L32" i="17"/>
  <c r="M32" i="17" s="1"/>
  <c r="H32" i="17"/>
  <c r="J32" i="17" s="1"/>
  <c r="AI31" i="17"/>
  <c r="Z31" i="17"/>
  <c r="W31" i="17"/>
  <c r="S31" i="17"/>
  <c r="P31" i="17"/>
  <c r="L31" i="17"/>
  <c r="M31" i="17" s="1"/>
  <c r="H31" i="17"/>
  <c r="J31" i="17" s="1"/>
  <c r="AJ30" i="17"/>
  <c r="AI30" i="17"/>
  <c r="Z30" i="17"/>
  <c r="W30" i="17"/>
  <c r="S30" i="17"/>
  <c r="P30" i="17"/>
  <c r="L30" i="17"/>
  <c r="M30" i="17" s="1"/>
  <c r="H30" i="17"/>
  <c r="J30" i="17" s="1"/>
  <c r="AJ29" i="17"/>
  <c r="AI29" i="17"/>
  <c r="Z29" i="17"/>
  <c r="W29" i="17"/>
  <c r="S29" i="17"/>
  <c r="P29" i="17"/>
  <c r="L29" i="17"/>
  <c r="M29" i="17" s="1"/>
  <c r="H29" i="17"/>
  <c r="J29" i="17" s="1"/>
  <c r="AI28" i="17"/>
  <c r="Z28" i="17"/>
  <c r="W28" i="17"/>
  <c r="S28" i="17"/>
  <c r="P28" i="17"/>
  <c r="L28" i="17"/>
  <c r="M28" i="17" s="1"/>
  <c r="H28" i="17"/>
  <c r="J28" i="17" s="1"/>
  <c r="AI27" i="17"/>
  <c r="Z27" i="17"/>
  <c r="W27" i="17"/>
  <c r="S27" i="17"/>
  <c r="P27" i="17"/>
  <c r="L27" i="17"/>
  <c r="AJ27" i="17" s="1"/>
  <c r="H27" i="17"/>
  <c r="J27" i="17" s="1"/>
  <c r="AJ26" i="17"/>
  <c r="AI26" i="17"/>
  <c r="Z26" i="17"/>
  <c r="W26" i="17"/>
  <c r="S26" i="17"/>
  <c r="P26" i="17"/>
  <c r="L26" i="17"/>
  <c r="M26" i="17" s="1"/>
  <c r="H26" i="17"/>
  <c r="J26" i="17" s="1"/>
  <c r="AI25" i="17"/>
  <c r="Z25" i="17"/>
  <c r="W25" i="17"/>
  <c r="S25" i="17"/>
  <c r="P25" i="17"/>
  <c r="L25" i="17"/>
  <c r="M25" i="17" s="1"/>
  <c r="H25" i="17"/>
  <c r="J25" i="17" s="1"/>
  <c r="AJ24" i="17"/>
  <c r="AI24" i="17"/>
  <c r="Z24" i="17"/>
  <c r="W24" i="17"/>
  <c r="S24" i="17"/>
  <c r="P24" i="17"/>
  <c r="L24" i="17"/>
  <c r="M24" i="17" s="1"/>
  <c r="H24" i="17"/>
  <c r="J24" i="17" s="1"/>
  <c r="AI23" i="17"/>
  <c r="Z23" i="17"/>
  <c r="W23" i="17"/>
  <c r="S23" i="17"/>
  <c r="P23" i="17"/>
  <c r="L23" i="17"/>
  <c r="M23" i="17" s="1"/>
  <c r="H23" i="17"/>
  <c r="J23" i="17" s="1"/>
  <c r="AI22" i="17"/>
  <c r="Z22" i="17"/>
  <c r="W22" i="17"/>
  <c r="S22" i="17"/>
  <c r="P22" i="17"/>
  <c r="L22" i="17"/>
  <c r="AJ22" i="17" s="1"/>
  <c r="H22" i="17"/>
  <c r="J22" i="17" s="1"/>
  <c r="AJ21" i="17"/>
  <c r="AI21" i="17"/>
  <c r="Z21" i="17"/>
  <c r="W21" i="17"/>
  <c r="S21" i="17"/>
  <c r="P21" i="17"/>
  <c r="L21" i="17"/>
  <c r="M21" i="17" s="1"/>
  <c r="H21" i="17"/>
  <c r="J21" i="17" s="1"/>
  <c r="AI20" i="17"/>
  <c r="Z20" i="17"/>
  <c r="W20" i="17"/>
  <c r="S20" i="17"/>
  <c r="P20" i="17"/>
  <c r="L20" i="17"/>
  <c r="M20" i="17" s="1"/>
  <c r="H20" i="17"/>
  <c r="J20" i="17" s="1"/>
  <c r="AI19" i="17"/>
  <c r="Z19" i="17"/>
  <c r="W19" i="17"/>
  <c r="S19" i="17"/>
  <c r="P19" i="17"/>
  <c r="L19" i="17"/>
  <c r="AJ19" i="17" s="1"/>
  <c r="H19" i="17"/>
  <c r="J19" i="17" s="1"/>
  <c r="AI18" i="17"/>
  <c r="Z18" i="17"/>
  <c r="W18" i="17"/>
  <c r="S18" i="17"/>
  <c r="P18" i="17"/>
  <c r="L18" i="17"/>
  <c r="AJ18" i="17" s="1"/>
  <c r="H18" i="17"/>
  <c r="J18" i="17" s="1"/>
  <c r="AI17" i="17"/>
  <c r="Z17" i="17"/>
  <c r="W17" i="17"/>
  <c r="S17" i="17"/>
  <c r="P17" i="17"/>
  <c r="L17" i="17"/>
  <c r="AJ17" i="17" s="1"/>
  <c r="H17" i="17"/>
  <c r="J17" i="17" s="1"/>
  <c r="AI16" i="17"/>
  <c r="Z16" i="17"/>
  <c r="W16" i="17"/>
  <c r="S16" i="17"/>
  <c r="P16" i="17"/>
  <c r="L16" i="17"/>
  <c r="M16" i="17" s="1"/>
  <c r="H16" i="17"/>
  <c r="J16" i="17" s="1"/>
  <c r="AJ15" i="17"/>
  <c r="AI15" i="17"/>
  <c r="Z15" i="17"/>
  <c r="W15" i="17"/>
  <c r="S15" i="17"/>
  <c r="P15" i="17"/>
  <c r="L15" i="17"/>
  <c r="M15" i="17" s="1"/>
  <c r="H15" i="17"/>
  <c r="J15" i="17" s="1"/>
  <c r="AJ14" i="17"/>
  <c r="AI14" i="17"/>
  <c r="Z14" i="17"/>
  <c r="W14" i="17"/>
  <c r="S14" i="17"/>
  <c r="P14" i="17"/>
  <c r="M14" i="17"/>
  <c r="L14" i="17"/>
  <c r="H14" i="17"/>
  <c r="J14" i="17" s="1"/>
  <c r="AI13" i="17"/>
  <c r="Z13" i="17"/>
  <c r="W13" i="17"/>
  <c r="S13" i="17"/>
  <c r="P13" i="17"/>
  <c r="L13" i="17"/>
  <c r="M13" i="17" s="1"/>
  <c r="H13" i="17"/>
  <c r="J13" i="17" s="1"/>
  <c r="AI12" i="17"/>
  <c r="Z12" i="17"/>
  <c r="W12" i="17"/>
  <c r="S12" i="17"/>
  <c r="P12" i="17"/>
  <c r="L12" i="17"/>
  <c r="M12" i="17" s="1"/>
  <c r="H12" i="17"/>
  <c r="J12" i="17" s="1"/>
  <c r="AI11" i="17"/>
  <c r="Z11" i="17"/>
  <c r="W11" i="17"/>
  <c r="S11" i="17"/>
  <c r="P11" i="17"/>
  <c r="L11" i="17"/>
  <c r="M11" i="17" s="1"/>
  <c r="H11" i="17"/>
  <c r="J11" i="17" s="1"/>
  <c r="AI10" i="17"/>
  <c r="Z10" i="17"/>
  <c r="W10" i="17"/>
  <c r="S10" i="17"/>
  <c r="P10" i="17"/>
  <c r="L10" i="17"/>
  <c r="M10" i="17" s="1"/>
  <c r="H10" i="17"/>
  <c r="J10" i="17" s="1"/>
  <c r="AJ9" i="17"/>
  <c r="AI9" i="17"/>
  <c r="Z9" i="17"/>
  <c r="W9" i="17"/>
  <c r="S9" i="17"/>
  <c r="P9" i="17"/>
  <c r="M9" i="17"/>
  <c r="L9" i="17"/>
  <c r="H9" i="17"/>
  <c r="J9" i="17" s="1"/>
  <c r="AI8" i="17"/>
  <c r="Z8" i="17"/>
  <c r="W8" i="17"/>
  <c r="S8" i="17"/>
  <c r="P8" i="17"/>
  <c r="L8" i="17"/>
  <c r="M8" i="17" s="1"/>
  <c r="H8" i="17"/>
  <c r="J8" i="17" s="1"/>
  <c r="AI7" i="17"/>
  <c r="Z7" i="17"/>
  <c r="W7" i="17"/>
  <c r="S7" i="17"/>
  <c r="P7" i="17"/>
  <c r="L7" i="17"/>
  <c r="M7" i="17" s="1"/>
  <c r="H7" i="17"/>
  <c r="J7" i="17" s="1"/>
  <c r="AI6" i="17"/>
  <c r="AF6" i="17"/>
  <c r="AF37" i="17" s="1"/>
  <c r="Z6" i="17"/>
  <c r="W6" i="17"/>
  <c r="S6" i="17"/>
  <c r="P6" i="17"/>
  <c r="L6" i="17"/>
  <c r="AJ6" i="17" s="1"/>
  <c r="H6" i="17"/>
  <c r="AJ20" i="17" l="1"/>
  <c r="AJ11" i="17"/>
  <c r="M19" i="17"/>
  <c r="AJ31" i="17"/>
  <c r="AJ34" i="17"/>
  <c r="AJ25" i="17"/>
  <c r="AJ16" i="17"/>
  <c r="AJ7" i="17"/>
  <c r="AJ10" i="17"/>
  <c r="H37" i="17"/>
  <c r="J37" i="17" s="1"/>
  <c r="M18" i="17"/>
  <c r="AJ28" i="17"/>
  <c r="AJ13" i="17"/>
  <c r="AJ23" i="17"/>
  <c r="M17" i="17"/>
  <c r="M27" i="17"/>
  <c r="M22" i="17"/>
  <c r="AJ32" i="17"/>
  <c r="Z37" i="17"/>
  <c r="AJ8" i="17"/>
  <c r="AJ12" i="17"/>
  <c r="AJ36" i="17"/>
  <c r="S37" i="17"/>
  <c r="AI37" i="17"/>
  <c r="J6" i="17"/>
  <c r="L37" i="17"/>
  <c r="M37" i="17" s="1"/>
  <c r="M6" i="17"/>
  <c r="AJ37" i="17" l="1"/>
  <c r="AH36" i="16"/>
  <c r="AG36" i="16"/>
  <c r="AE36" i="16"/>
  <c r="AD36" i="16"/>
  <c r="AC36" i="16"/>
  <c r="AB36" i="16"/>
  <c r="AA36" i="16"/>
  <c r="Y36" i="16"/>
  <c r="X36" i="16"/>
  <c r="V36" i="16"/>
  <c r="U36" i="16"/>
  <c r="T36" i="16"/>
  <c r="R36" i="16"/>
  <c r="Q36" i="16"/>
  <c r="O36" i="16"/>
  <c r="N36" i="16"/>
  <c r="L36" i="16"/>
  <c r="K36" i="16"/>
  <c r="I36" i="16"/>
  <c r="G36" i="16"/>
  <c r="F36" i="16"/>
  <c r="E36" i="16"/>
  <c r="D36" i="16"/>
  <c r="C36" i="16"/>
  <c r="B36" i="16"/>
  <c r="AJ35" i="16"/>
  <c r="AI35" i="16"/>
  <c r="Z35" i="16"/>
  <c r="W35" i="16"/>
  <c r="S35" i="16"/>
  <c r="P35" i="16"/>
  <c r="M35" i="16"/>
  <c r="H35" i="16"/>
  <c r="J35" i="16" s="1"/>
  <c r="AJ34" i="16"/>
  <c r="AI34" i="16"/>
  <c r="Z34" i="16"/>
  <c r="W34" i="16"/>
  <c r="S34" i="16"/>
  <c r="P34" i="16"/>
  <c r="M34" i="16"/>
  <c r="H34" i="16"/>
  <c r="J34" i="16" s="1"/>
  <c r="AJ33" i="16"/>
  <c r="AI33" i="16"/>
  <c r="Z33" i="16"/>
  <c r="W33" i="16"/>
  <c r="S33" i="16"/>
  <c r="P33" i="16"/>
  <c r="M33" i="16"/>
  <c r="H33" i="16"/>
  <c r="J33" i="16" s="1"/>
  <c r="AJ32" i="16"/>
  <c r="AI32" i="16"/>
  <c r="Z32" i="16"/>
  <c r="W32" i="16"/>
  <c r="S32" i="16"/>
  <c r="P32" i="16"/>
  <c r="M32" i="16"/>
  <c r="H32" i="16"/>
  <c r="J32" i="16" s="1"/>
  <c r="AJ31" i="16"/>
  <c r="AI31" i="16"/>
  <c r="Z31" i="16"/>
  <c r="W31" i="16"/>
  <c r="S31" i="16"/>
  <c r="P31" i="16"/>
  <c r="M31" i="16"/>
  <c r="H31" i="16"/>
  <c r="J31" i="16" s="1"/>
  <c r="AJ30" i="16"/>
  <c r="AI30" i="16"/>
  <c r="Z30" i="16"/>
  <c r="W30" i="16"/>
  <c r="S30" i="16"/>
  <c r="P30" i="16"/>
  <c r="M30" i="16"/>
  <c r="H30" i="16"/>
  <c r="J30" i="16" s="1"/>
  <c r="AJ29" i="16"/>
  <c r="AI29" i="16"/>
  <c r="Z29" i="16"/>
  <c r="W29" i="16"/>
  <c r="S29" i="16"/>
  <c r="P29" i="16"/>
  <c r="M29" i="16"/>
  <c r="H29" i="16"/>
  <c r="J29" i="16" s="1"/>
  <c r="AJ28" i="16"/>
  <c r="AI28" i="16"/>
  <c r="Z28" i="16"/>
  <c r="W28" i="16"/>
  <c r="S28" i="16"/>
  <c r="P28" i="16"/>
  <c r="M28" i="16"/>
  <c r="H28" i="16"/>
  <c r="J28" i="16" s="1"/>
  <c r="AJ27" i="16"/>
  <c r="AI27" i="16"/>
  <c r="Z27" i="16"/>
  <c r="W27" i="16"/>
  <c r="S27" i="16"/>
  <c r="P27" i="16"/>
  <c r="M27" i="16"/>
  <c r="H27" i="16"/>
  <c r="J27" i="16" s="1"/>
  <c r="AJ26" i="16"/>
  <c r="AI26" i="16"/>
  <c r="Z26" i="16"/>
  <c r="W26" i="16"/>
  <c r="S26" i="16"/>
  <c r="P26" i="16"/>
  <c r="M26" i="16"/>
  <c r="H26" i="16"/>
  <c r="J26" i="16" s="1"/>
  <c r="AJ25" i="16"/>
  <c r="AI25" i="16"/>
  <c r="Z25" i="16"/>
  <c r="W25" i="16"/>
  <c r="S25" i="16"/>
  <c r="P25" i="16"/>
  <c r="M25" i="16"/>
  <c r="H25" i="16"/>
  <c r="J25" i="16" s="1"/>
  <c r="AJ24" i="16"/>
  <c r="AI24" i="16"/>
  <c r="Z24" i="16"/>
  <c r="W24" i="16"/>
  <c r="S24" i="16"/>
  <c r="P24" i="16"/>
  <c r="M24" i="16"/>
  <c r="H24" i="16"/>
  <c r="J24" i="16" s="1"/>
  <c r="AJ23" i="16"/>
  <c r="AI23" i="16"/>
  <c r="Z23" i="16"/>
  <c r="W23" i="16"/>
  <c r="S23" i="16"/>
  <c r="P23" i="16"/>
  <c r="M23" i="16"/>
  <c r="H23" i="16"/>
  <c r="J23" i="16" s="1"/>
  <c r="AJ22" i="16"/>
  <c r="AI22" i="16"/>
  <c r="Z22" i="16"/>
  <c r="W22" i="16"/>
  <c r="S22" i="16"/>
  <c r="P22" i="16"/>
  <c r="M22" i="16"/>
  <c r="H22" i="16"/>
  <c r="J22" i="16" s="1"/>
  <c r="AJ21" i="16"/>
  <c r="AI21" i="16"/>
  <c r="Z21" i="16"/>
  <c r="W21" i="16"/>
  <c r="S21" i="16"/>
  <c r="P21" i="16"/>
  <c r="M21" i="16"/>
  <c r="H21" i="16"/>
  <c r="J21" i="16" s="1"/>
  <c r="AJ20" i="16"/>
  <c r="AI20" i="16"/>
  <c r="Z20" i="16"/>
  <c r="W20" i="16"/>
  <c r="S20" i="16"/>
  <c r="P20" i="16"/>
  <c r="M20" i="16"/>
  <c r="H20" i="16"/>
  <c r="J20" i="16" s="1"/>
  <c r="AJ19" i="16"/>
  <c r="AI19" i="16"/>
  <c r="Z19" i="16"/>
  <c r="W19" i="16"/>
  <c r="S19" i="16"/>
  <c r="P19" i="16"/>
  <c r="M19" i="16"/>
  <c r="H19" i="16"/>
  <c r="J19" i="16" s="1"/>
  <c r="AJ18" i="16"/>
  <c r="AI18" i="16"/>
  <c r="Z18" i="16"/>
  <c r="W18" i="16"/>
  <c r="S18" i="16"/>
  <c r="P18" i="16"/>
  <c r="M18" i="16"/>
  <c r="H18" i="16"/>
  <c r="J18" i="16" s="1"/>
  <c r="AJ17" i="16"/>
  <c r="AI17" i="16"/>
  <c r="Z17" i="16"/>
  <c r="W17" i="16"/>
  <c r="S17" i="16"/>
  <c r="P17" i="16"/>
  <c r="M17" i="16"/>
  <c r="H17" i="16"/>
  <c r="J17" i="16" s="1"/>
  <c r="AJ16" i="16"/>
  <c r="AI16" i="16"/>
  <c r="Z16" i="16"/>
  <c r="W16" i="16"/>
  <c r="S16" i="16"/>
  <c r="P16" i="16"/>
  <c r="M16" i="16"/>
  <c r="H16" i="16"/>
  <c r="J16" i="16" s="1"/>
  <c r="AJ15" i="16"/>
  <c r="AI15" i="16"/>
  <c r="Z15" i="16"/>
  <c r="W15" i="16"/>
  <c r="S15" i="16"/>
  <c r="P15" i="16"/>
  <c r="M15" i="16"/>
  <c r="H15" i="16"/>
  <c r="J15" i="16" s="1"/>
  <c r="AJ14" i="16"/>
  <c r="AI14" i="16"/>
  <c r="Z14" i="16"/>
  <c r="W14" i="16"/>
  <c r="S14" i="16"/>
  <c r="P14" i="16"/>
  <c r="M14" i="16"/>
  <c r="H14" i="16"/>
  <c r="J14" i="16" s="1"/>
  <c r="AJ13" i="16"/>
  <c r="AI13" i="16"/>
  <c r="Z13" i="16"/>
  <c r="W13" i="16"/>
  <c r="S13" i="16"/>
  <c r="P13" i="16"/>
  <c r="M13" i="16"/>
  <c r="H13" i="16"/>
  <c r="J13" i="16" s="1"/>
  <c r="AJ12" i="16"/>
  <c r="AI12" i="16"/>
  <c r="Z12" i="16"/>
  <c r="W12" i="16"/>
  <c r="S12" i="16"/>
  <c r="P12" i="16"/>
  <c r="M12" i="16"/>
  <c r="H12" i="16"/>
  <c r="J12" i="16" s="1"/>
  <c r="AJ11" i="16"/>
  <c r="AI11" i="16"/>
  <c r="Z11" i="16"/>
  <c r="W11" i="16"/>
  <c r="S11" i="16"/>
  <c r="P11" i="16"/>
  <c r="M11" i="16"/>
  <c r="H11" i="16"/>
  <c r="J11" i="16" s="1"/>
  <c r="AJ10" i="16"/>
  <c r="AI10" i="16"/>
  <c r="Z10" i="16"/>
  <c r="W10" i="16"/>
  <c r="S10" i="16"/>
  <c r="P10" i="16"/>
  <c r="M10" i="16"/>
  <c r="H10" i="16"/>
  <c r="J10" i="16" s="1"/>
  <c r="AJ9" i="16"/>
  <c r="AI9" i="16"/>
  <c r="Z9" i="16"/>
  <c r="W9" i="16"/>
  <c r="S9" i="16"/>
  <c r="P9" i="16"/>
  <c r="M9" i="16"/>
  <c r="H9" i="16"/>
  <c r="J9" i="16" s="1"/>
  <c r="AJ8" i="16"/>
  <c r="AI8" i="16"/>
  <c r="Z8" i="16"/>
  <c r="W8" i="16"/>
  <c r="S8" i="16"/>
  <c r="P8" i="16"/>
  <c r="M8" i="16"/>
  <c r="H8" i="16"/>
  <c r="J8" i="16" s="1"/>
  <c r="AJ7" i="16"/>
  <c r="AI7" i="16"/>
  <c r="Z7" i="16"/>
  <c r="W7" i="16"/>
  <c r="S7" i="16"/>
  <c r="P7" i="16"/>
  <c r="M7" i="16"/>
  <c r="H7" i="16"/>
  <c r="J7" i="16" s="1"/>
  <c r="AJ6" i="16"/>
  <c r="AI6" i="16"/>
  <c r="AF6" i="16"/>
  <c r="AF36" i="16" s="1"/>
  <c r="Z6" i="16"/>
  <c r="Z36" i="16" s="1"/>
  <c r="W6" i="16"/>
  <c r="S6" i="16"/>
  <c r="P6" i="16"/>
  <c r="M6" i="16"/>
  <c r="H6" i="16"/>
  <c r="M36" i="16" l="1"/>
  <c r="AJ36" i="16"/>
  <c r="H36" i="16"/>
  <c r="J36" i="16" s="1"/>
  <c r="J6" i="16"/>
  <c r="P36" i="16"/>
  <c r="S36" i="16"/>
  <c r="AI36" i="16"/>
  <c r="AH37" i="15"/>
  <c r="AG37" i="15"/>
  <c r="AE37" i="15"/>
  <c r="AD37" i="15"/>
  <c r="AC37" i="15"/>
  <c r="AB37" i="15"/>
  <c r="AA37" i="15"/>
  <c r="Y37" i="15"/>
  <c r="X37" i="15"/>
  <c r="V37" i="15"/>
  <c r="U37" i="15"/>
  <c r="T37" i="15"/>
  <c r="R37" i="15"/>
  <c r="Q37" i="15"/>
  <c r="O37" i="15"/>
  <c r="N37" i="15"/>
  <c r="L37" i="15"/>
  <c r="M37" i="15" s="1"/>
  <c r="K37" i="15"/>
  <c r="I37" i="15"/>
  <c r="G37" i="15"/>
  <c r="F37" i="15"/>
  <c r="E37" i="15"/>
  <c r="D37" i="15"/>
  <c r="C37" i="15"/>
  <c r="B37" i="15"/>
  <c r="AJ36" i="15"/>
  <c r="AI36" i="15"/>
  <c r="Z36" i="15"/>
  <c r="W36" i="15"/>
  <c r="S36" i="15"/>
  <c r="P36" i="15"/>
  <c r="M36" i="15"/>
  <c r="H36" i="15"/>
  <c r="J36" i="15" s="1"/>
  <c r="AI35" i="15"/>
  <c r="Z35" i="15"/>
  <c r="W35" i="15"/>
  <c r="S35" i="15"/>
  <c r="P35" i="15"/>
  <c r="M35" i="15"/>
  <c r="H35" i="15"/>
  <c r="J35" i="15" s="1"/>
  <c r="AJ34" i="15"/>
  <c r="AI34" i="15"/>
  <c r="Z34" i="15"/>
  <c r="W34" i="15"/>
  <c r="S34" i="15"/>
  <c r="P34" i="15"/>
  <c r="M34" i="15"/>
  <c r="H34" i="15"/>
  <c r="J34" i="15" s="1"/>
  <c r="AJ33" i="15"/>
  <c r="AI33" i="15"/>
  <c r="Z33" i="15"/>
  <c r="W33" i="15"/>
  <c r="S33" i="15"/>
  <c r="P33" i="15"/>
  <c r="M33" i="15"/>
  <c r="H33" i="15"/>
  <c r="J33" i="15" s="1"/>
  <c r="AJ32" i="15"/>
  <c r="AI32" i="15"/>
  <c r="Z32" i="15"/>
  <c r="W32" i="15"/>
  <c r="S32" i="15"/>
  <c r="P32" i="15"/>
  <c r="M32" i="15"/>
  <c r="H32" i="15"/>
  <c r="J32" i="15" s="1"/>
  <c r="AJ31" i="15"/>
  <c r="AI31" i="15"/>
  <c r="Z31" i="15"/>
  <c r="W31" i="15"/>
  <c r="S31" i="15"/>
  <c r="P31" i="15"/>
  <c r="M31" i="15"/>
  <c r="H31" i="15"/>
  <c r="J31" i="15" s="1"/>
  <c r="AJ30" i="15"/>
  <c r="AI30" i="15"/>
  <c r="Z30" i="15"/>
  <c r="W30" i="15"/>
  <c r="S30" i="15"/>
  <c r="P30" i="15"/>
  <c r="M30" i="15"/>
  <c r="H30" i="15"/>
  <c r="J30" i="15" s="1"/>
  <c r="AJ29" i="15"/>
  <c r="AI29" i="15"/>
  <c r="Z29" i="15"/>
  <c r="W29" i="15"/>
  <c r="S29" i="15"/>
  <c r="P29" i="15"/>
  <c r="M29" i="15"/>
  <c r="H29" i="15"/>
  <c r="J29" i="15" s="1"/>
  <c r="AJ28" i="15"/>
  <c r="AI28" i="15"/>
  <c r="Z28" i="15"/>
  <c r="W28" i="15"/>
  <c r="S28" i="15"/>
  <c r="P28" i="15"/>
  <c r="M28" i="15"/>
  <c r="H28" i="15"/>
  <c r="J28" i="15" s="1"/>
  <c r="AJ27" i="15"/>
  <c r="AI27" i="15"/>
  <c r="Z27" i="15"/>
  <c r="W27" i="15"/>
  <c r="S27" i="15"/>
  <c r="P27" i="15"/>
  <c r="M27" i="15"/>
  <c r="H27" i="15"/>
  <c r="J27" i="15" s="1"/>
  <c r="AJ26" i="15"/>
  <c r="AI26" i="15"/>
  <c r="Z26" i="15"/>
  <c r="W26" i="15"/>
  <c r="S26" i="15"/>
  <c r="P26" i="15"/>
  <c r="M26" i="15"/>
  <c r="H26" i="15"/>
  <c r="J26" i="15" s="1"/>
  <c r="AJ25" i="15"/>
  <c r="AI25" i="15"/>
  <c r="Z25" i="15"/>
  <c r="W25" i="15"/>
  <c r="S25" i="15"/>
  <c r="P25" i="15"/>
  <c r="M25" i="15"/>
  <c r="H25" i="15"/>
  <c r="J25" i="15" s="1"/>
  <c r="AJ24" i="15"/>
  <c r="AI24" i="15"/>
  <c r="Z24" i="15"/>
  <c r="W24" i="15"/>
  <c r="S24" i="15"/>
  <c r="P24" i="15"/>
  <c r="M24" i="15"/>
  <c r="H24" i="15"/>
  <c r="J24" i="15" s="1"/>
  <c r="AJ23" i="15"/>
  <c r="AI23" i="15"/>
  <c r="Z23" i="15"/>
  <c r="W23" i="15"/>
  <c r="S23" i="15"/>
  <c r="P23" i="15"/>
  <c r="M23" i="15"/>
  <c r="H23" i="15"/>
  <c r="J23" i="15" s="1"/>
  <c r="AJ22" i="15"/>
  <c r="AI22" i="15"/>
  <c r="Z22" i="15"/>
  <c r="W22" i="15"/>
  <c r="S22" i="15"/>
  <c r="P22" i="15"/>
  <c r="M22" i="15"/>
  <c r="H22" i="15"/>
  <c r="J22" i="15" s="1"/>
  <c r="AJ21" i="15"/>
  <c r="AI21" i="15"/>
  <c r="Z21" i="15"/>
  <c r="W21" i="15"/>
  <c r="S21" i="15"/>
  <c r="P21" i="15"/>
  <c r="M21" i="15"/>
  <c r="H21" i="15"/>
  <c r="J21" i="15" s="1"/>
  <c r="AJ20" i="15"/>
  <c r="AI20" i="15"/>
  <c r="Z20" i="15"/>
  <c r="W20" i="15"/>
  <c r="S20" i="15"/>
  <c r="P20" i="15"/>
  <c r="M20" i="15"/>
  <c r="H20" i="15"/>
  <c r="J20" i="15" s="1"/>
  <c r="AJ19" i="15"/>
  <c r="AI19" i="15"/>
  <c r="Z19" i="15"/>
  <c r="W19" i="15"/>
  <c r="S19" i="15"/>
  <c r="P19" i="15"/>
  <c r="M19" i="15"/>
  <c r="H19" i="15"/>
  <c r="J19" i="15" s="1"/>
  <c r="AJ18" i="15"/>
  <c r="AI18" i="15"/>
  <c r="Z18" i="15"/>
  <c r="W18" i="15"/>
  <c r="S18" i="15"/>
  <c r="P18" i="15"/>
  <c r="M18" i="15"/>
  <c r="H18" i="15"/>
  <c r="J18" i="15" s="1"/>
  <c r="AJ17" i="15"/>
  <c r="AI17" i="15"/>
  <c r="Z17" i="15"/>
  <c r="W17" i="15"/>
  <c r="S17" i="15"/>
  <c r="P17" i="15"/>
  <c r="M17" i="15"/>
  <c r="H17" i="15"/>
  <c r="J17" i="15" s="1"/>
  <c r="AJ16" i="15"/>
  <c r="AI16" i="15"/>
  <c r="Z16" i="15"/>
  <c r="W16" i="15"/>
  <c r="S16" i="15"/>
  <c r="P16" i="15"/>
  <c r="M16" i="15"/>
  <c r="H16" i="15"/>
  <c r="J16" i="15" s="1"/>
  <c r="AJ15" i="15"/>
  <c r="AI15" i="15"/>
  <c r="Z15" i="15"/>
  <c r="W15" i="15"/>
  <c r="S15" i="15"/>
  <c r="P15" i="15"/>
  <c r="M15" i="15"/>
  <c r="H15" i="15"/>
  <c r="J15" i="15" s="1"/>
  <c r="AJ14" i="15"/>
  <c r="AI14" i="15"/>
  <c r="Z14" i="15"/>
  <c r="W14" i="15"/>
  <c r="S14" i="15"/>
  <c r="P14" i="15"/>
  <c r="M14" i="15"/>
  <c r="H14" i="15"/>
  <c r="J14" i="15" s="1"/>
  <c r="AJ13" i="15"/>
  <c r="AI13" i="15"/>
  <c r="Z13" i="15"/>
  <c r="W13" i="15"/>
  <c r="S13" i="15"/>
  <c r="P13" i="15"/>
  <c r="M13" i="15"/>
  <c r="H13" i="15"/>
  <c r="J13" i="15" s="1"/>
  <c r="AJ12" i="15"/>
  <c r="AI12" i="15"/>
  <c r="Z12" i="15"/>
  <c r="W12" i="15"/>
  <c r="S12" i="15"/>
  <c r="P12" i="15"/>
  <c r="M12" i="15"/>
  <c r="H12" i="15"/>
  <c r="J12" i="15" s="1"/>
  <c r="AJ11" i="15"/>
  <c r="AI11" i="15"/>
  <c r="Z11" i="15"/>
  <c r="W11" i="15"/>
  <c r="S11" i="15"/>
  <c r="P11" i="15"/>
  <c r="M11" i="15"/>
  <c r="H11" i="15"/>
  <c r="J11" i="15" s="1"/>
  <c r="AJ10" i="15"/>
  <c r="AI10" i="15"/>
  <c r="Z10" i="15"/>
  <c r="W10" i="15"/>
  <c r="S10" i="15"/>
  <c r="P10" i="15"/>
  <c r="M10" i="15"/>
  <c r="H10" i="15"/>
  <c r="J10" i="15" s="1"/>
  <c r="AJ9" i="15"/>
  <c r="AI9" i="15"/>
  <c r="Z9" i="15"/>
  <c r="W9" i="15"/>
  <c r="S9" i="15"/>
  <c r="P9" i="15"/>
  <c r="M9" i="15"/>
  <c r="H9" i="15"/>
  <c r="J9" i="15" s="1"/>
  <c r="AJ8" i="15"/>
  <c r="AI8" i="15"/>
  <c r="Z8" i="15"/>
  <c r="W8" i="15"/>
  <c r="S8" i="15"/>
  <c r="P8" i="15"/>
  <c r="M8" i="15"/>
  <c r="H8" i="15"/>
  <c r="J8" i="15" s="1"/>
  <c r="AJ7" i="15"/>
  <c r="AI7" i="15"/>
  <c r="Z7" i="15"/>
  <c r="W7" i="15"/>
  <c r="S7" i="15"/>
  <c r="P7" i="15"/>
  <c r="M7" i="15"/>
  <c r="H7" i="15"/>
  <c r="J7" i="15" s="1"/>
  <c r="AJ6" i="15"/>
  <c r="AI6" i="15"/>
  <c r="AF6" i="15"/>
  <c r="AF37" i="15" s="1"/>
  <c r="Z6" i="15"/>
  <c r="W6" i="15"/>
  <c r="S6" i="15"/>
  <c r="P6" i="15"/>
  <c r="M6" i="15"/>
  <c r="H6" i="15"/>
  <c r="P37" i="15" l="1"/>
  <c r="H37" i="15"/>
  <c r="AJ37" i="15"/>
  <c r="S37" i="15"/>
  <c r="AI37" i="15"/>
  <c r="J6" i="15"/>
  <c r="Z37" i="15"/>
  <c r="J37" i="15"/>
  <c r="AH37" i="14" l="1"/>
  <c r="AG37" i="14"/>
  <c r="AE37" i="14"/>
  <c r="AD37" i="14"/>
  <c r="AC37" i="14"/>
  <c r="AB37" i="14"/>
  <c r="AA37" i="14"/>
  <c r="Y37" i="14"/>
  <c r="X37" i="14"/>
  <c r="V37" i="14"/>
  <c r="U37" i="14"/>
  <c r="T37" i="14"/>
  <c r="R37" i="14"/>
  <c r="Q37" i="14"/>
  <c r="O37" i="14"/>
  <c r="N37" i="14"/>
  <c r="L37" i="14"/>
  <c r="K37" i="14"/>
  <c r="I37" i="14"/>
  <c r="G37" i="14"/>
  <c r="F37" i="14"/>
  <c r="E37" i="14"/>
  <c r="D37" i="14"/>
  <c r="C37" i="14"/>
  <c r="B37" i="14"/>
  <c r="AJ36" i="14"/>
  <c r="AI36" i="14"/>
  <c r="Z36" i="14"/>
  <c r="W36" i="14"/>
  <c r="S36" i="14"/>
  <c r="P36" i="14"/>
  <c r="M36" i="14"/>
  <c r="H36" i="14"/>
  <c r="J36" i="14" s="1"/>
  <c r="AJ35" i="14"/>
  <c r="AI35" i="14"/>
  <c r="Z35" i="14"/>
  <c r="W35" i="14"/>
  <c r="S35" i="14"/>
  <c r="P35" i="14"/>
  <c r="M35" i="14"/>
  <c r="H35" i="14"/>
  <c r="J35" i="14" s="1"/>
  <c r="AJ34" i="14"/>
  <c r="AI34" i="14"/>
  <c r="Z34" i="14"/>
  <c r="W34" i="14"/>
  <c r="S34" i="14"/>
  <c r="P34" i="14"/>
  <c r="M34" i="14"/>
  <c r="H34" i="14"/>
  <c r="J34" i="14" s="1"/>
  <c r="AJ33" i="14"/>
  <c r="AI33" i="14"/>
  <c r="Z33" i="14"/>
  <c r="W33" i="14"/>
  <c r="S33" i="14"/>
  <c r="P33" i="14"/>
  <c r="M33" i="14"/>
  <c r="H33" i="14"/>
  <c r="J33" i="14" s="1"/>
  <c r="AJ32" i="14"/>
  <c r="AI32" i="14"/>
  <c r="Z32" i="14"/>
  <c r="W32" i="14"/>
  <c r="S32" i="14"/>
  <c r="P32" i="14"/>
  <c r="M32" i="14"/>
  <c r="H32" i="14"/>
  <c r="J32" i="14" s="1"/>
  <c r="AJ31" i="14"/>
  <c r="AI31" i="14"/>
  <c r="Z31" i="14"/>
  <c r="W31" i="14"/>
  <c r="S31" i="14"/>
  <c r="P31" i="14"/>
  <c r="M31" i="14"/>
  <c r="H31" i="14"/>
  <c r="J31" i="14" s="1"/>
  <c r="AJ30" i="14"/>
  <c r="AI30" i="14"/>
  <c r="Z30" i="14"/>
  <c r="W30" i="14"/>
  <c r="S30" i="14"/>
  <c r="P30" i="14"/>
  <c r="M30" i="14"/>
  <c r="H30" i="14"/>
  <c r="J30" i="14" s="1"/>
  <c r="AJ29" i="14"/>
  <c r="AI29" i="14"/>
  <c r="Z29" i="14"/>
  <c r="W29" i="14"/>
  <c r="S29" i="14"/>
  <c r="P29" i="14"/>
  <c r="M29" i="14"/>
  <c r="H29" i="14"/>
  <c r="J29" i="14" s="1"/>
  <c r="AJ28" i="14"/>
  <c r="AI28" i="14"/>
  <c r="Z28" i="14"/>
  <c r="W28" i="14"/>
  <c r="S28" i="14"/>
  <c r="P28" i="14"/>
  <c r="M28" i="14"/>
  <c r="H28" i="14"/>
  <c r="J28" i="14" s="1"/>
  <c r="AJ27" i="14"/>
  <c r="AI27" i="14"/>
  <c r="Z27" i="14"/>
  <c r="W27" i="14"/>
  <c r="S27" i="14"/>
  <c r="P27" i="14"/>
  <c r="M27" i="14"/>
  <c r="H27" i="14"/>
  <c r="J27" i="14" s="1"/>
  <c r="AJ26" i="14"/>
  <c r="AI26" i="14"/>
  <c r="Z26" i="14"/>
  <c r="W26" i="14"/>
  <c r="S26" i="14"/>
  <c r="P26" i="14"/>
  <c r="M26" i="14"/>
  <c r="H26" i="14"/>
  <c r="J26" i="14" s="1"/>
  <c r="AJ25" i="14"/>
  <c r="AI25" i="14"/>
  <c r="Z25" i="14"/>
  <c r="W25" i="14"/>
  <c r="S25" i="14"/>
  <c r="P25" i="14"/>
  <c r="M25" i="14"/>
  <c r="H25" i="14"/>
  <c r="J25" i="14" s="1"/>
  <c r="AJ24" i="14"/>
  <c r="AI24" i="14"/>
  <c r="Z24" i="14"/>
  <c r="W24" i="14"/>
  <c r="S24" i="14"/>
  <c r="P24" i="14"/>
  <c r="M24" i="14"/>
  <c r="H24" i="14"/>
  <c r="J24" i="14" s="1"/>
  <c r="AJ23" i="14"/>
  <c r="AI23" i="14"/>
  <c r="Z23" i="14"/>
  <c r="W23" i="14"/>
  <c r="S23" i="14"/>
  <c r="P23" i="14"/>
  <c r="M23" i="14"/>
  <c r="H23" i="14"/>
  <c r="J23" i="14" s="1"/>
  <c r="AJ22" i="14"/>
  <c r="AI22" i="14"/>
  <c r="Z22" i="14"/>
  <c r="W22" i="14"/>
  <c r="S22" i="14"/>
  <c r="P22" i="14"/>
  <c r="M22" i="14"/>
  <c r="H22" i="14"/>
  <c r="J22" i="14" s="1"/>
  <c r="AJ21" i="14"/>
  <c r="AI21" i="14"/>
  <c r="Z21" i="14"/>
  <c r="W21" i="14"/>
  <c r="S21" i="14"/>
  <c r="P21" i="14"/>
  <c r="M21" i="14"/>
  <c r="H21" i="14"/>
  <c r="J21" i="14" s="1"/>
  <c r="AJ20" i="14"/>
  <c r="AI20" i="14"/>
  <c r="Z20" i="14"/>
  <c r="W20" i="14"/>
  <c r="S20" i="14"/>
  <c r="P20" i="14"/>
  <c r="M20" i="14"/>
  <c r="H20" i="14"/>
  <c r="J20" i="14" s="1"/>
  <c r="AJ19" i="14"/>
  <c r="AI19" i="14"/>
  <c r="Z19" i="14"/>
  <c r="W19" i="14"/>
  <c r="S19" i="14"/>
  <c r="P19" i="14"/>
  <c r="M19" i="14"/>
  <c r="H19" i="14"/>
  <c r="J19" i="14" s="1"/>
  <c r="AJ18" i="14"/>
  <c r="AI18" i="14"/>
  <c r="Z18" i="14"/>
  <c r="W18" i="14"/>
  <c r="S18" i="14"/>
  <c r="P18" i="14"/>
  <c r="M18" i="14"/>
  <c r="H18" i="14"/>
  <c r="J18" i="14" s="1"/>
  <c r="AJ17" i="14"/>
  <c r="AI17" i="14"/>
  <c r="Z17" i="14"/>
  <c r="W17" i="14"/>
  <c r="S17" i="14"/>
  <c r="P17" i="14"/>
  <c r="M17" i="14"/>
  <c r="H17" i="14"/>
  <c r="J17" i="14" s="1"/>
  <c r="AJ16" i="14"/>
  <c r="AI16" i="14"/>
  <c r="Z16" i="14"/>
  <c r="W16" i="14"/>
  <c r="S16" i="14"/>
  <c r="P16" i="14"/>
  <c r="M16" i="14"/>
  <c r="H16" i="14"/>
  <c r="J16" i="14" s="1"/>
  <c r="AJ15" i="14"/>
  <c r="AI15" i="14"/>
  <c r="Z15" i="14"/>
  <c r="W15" i="14"/>
  <c r="S15" i="14"/>
  <c r="P15" i="14"/>
  <c r="M15" i="14"/>
  <c r="H15" i="14"/>
  <c r="J15" i="14" s="1"/>
  <c r="AJ14" i="14"/>
  <c r="AI14" i="14"/>
  <c r="Z14" i="14"/>
  <c r="W14" i="14"/>
  <c r="S14" i="14"/>
  <c r="P14" i="14"/>
  <c r="M14" i="14"/>
  <c r="H14" i="14"/>
  <c r="J14" i="14" s="1"/>
  <c r="AJ13" i="14"/>
  <c r="AI13" i="14"/>
  <c r="Z13" i="14"/>
  <c r="W13" i="14"/>
  <c r="S13" i="14"/>
  <c r="P13" i="14"/>
  <c r="M13" i="14"/>
  <c r="H13" i="14"/>
  <c r="J13" i="14" s="1"/>
  <c r="AJ12" i="14"/>
  <c r="AI12" i="14"/>
  <c r="Z12" i="14"/>
  <c r="W12" i="14"/>
  <c r="S12" i="14"/>
  <c r="P12" i="14"/>
  <c r="M12" i="14"/>
  <c r="H12" i="14"/>
  <c r="J12" i="14" s="1"/>
  <c r="AJ11" i="14"/>
  <c r="AI11" i="14"/>
  <c r="Z11" i="14"/>
  <c r="W11" i="14"/>
  <c r="S11" i="14"/>
  <c r="P11" i="14"/>
  <c r="M11" i="14"/>
  <c r="H11" i="14"/>
  <c r="J11" i="14" s="1"/>
  <c r="AJ10" i="14"/>
  <c r="AI10" i="14"/>
  <c r="Z10" i="14"/>
  <c r="W10" i="14"/>
  <c r="S10" i="14"/>
  <c r="P10" i="14"/>
  <c r="M10" i="14"/>
  <c r="H10" i="14"/>
  <c r="J10" i="14" s="1"/>
  <c r="AJ9" i="14"/>
  <c r="AI9" i="14"/>
  <c r="Z9" i="14"/>
  <c r="W9" i="14"/>
  <c r="S9" i="14"/>
  <c r="P9" i="14"/>
  <c r="M9" i="14"/>
  <c r="H9" i="14"/>
  <c r="J9" i="14" s="1"/>
  <c r="AJ8" i="14"/>
  <c r="AI8" i="14"/>
  <c r="Z8" i="14"/>
  <c r="W8" i="14"/>
  <c r="S8" i="14"/>
  <c r="P8" i="14"/>
  <c r="M8" i="14"/>
  <c r="H8" i="14"/>
  <c r="J8" i="14" s="1"/>
  <c r="AJ7" i="14"/>
  <c r="AI7" i="14"/>
  <c r="Z7" i="14"/>
  <c r="W7" i="14"/>
  <c r="S7" i="14"/>
  <c r="P7" i="14"/>
  <c r="M7" i="14"/>
  <c r="H7" i="14"/>
  <c r="J7" i="14" s="1"/>
  <c r="AJ6" i="14"/>
  <c r="AI6" i="14"/>
  <c r="AF6" i="14"/>
  <c r="AF37" i="14" s="1"/>
  <c r="Z6" i="14"/>
  <c r="W6" i="14"/>
  <c r="S6" i="14"/>
  <c r="P6" i="14"/>
  <c r="M6" i="14"/>
  <c r="H6" i="14"/>
  <c r="J6" i="14" s="1"/>
  <c r="M37" i="14" l="1"/>
  <c r="AJ37" i="14"/>
  <c r="S37" i="14"/>
  <c r="Z37" i="14"/>
  <c r="P37" i="14"/>
  <c r="AI37" i="14"/>
  <c r="H37" i="14"/>
  <c r="J37" i="14" s="1"/>
  <c r="AH36" i="13" l="1"/>
  <c r="AG36" i="13"/>
  <c r="AE36" i="13"/>
  <c r="AD36" i="13"/>
  <c r="AC36" i="13"/>
  <c r="AB36" i="13"/>
  <c r="AA36" i="13"/>
  <c r="Y36" i="13"/>
  <c r="X36" i="13"/>
  <c r="V36" i="13"/>
  <c r="U36" i="13"/>
  <c r="T36" i="13"/>
  <c r="R36" i="13"/>
  <c r="Q36" i="13"/>
  <c r="O36" i="13"/>
  <c r="N36" i="13"/>
  <c r="L36" i="13"/>
  <c r="K36" i="13"/>
  <c r="I36" i="13"/>
  <c r="G36" i="13"/>
  <c r="F36" i="13"/>
  <c r="E36" i="13"/>
  <c r="D36" i="13"/>
  <c r="C36" i="13"/>
  <c r="B36" i="13"/>
  <c r="AJ35" i="13"/>
  <c r="AI35" i="13"/>
  <c r="Z35" i="13"/>
  <c r="W35" i="13"/>
  <c r="S35" i="13"/>
  <c r="P35" i="13"/>
  <c r="M35" i="13"/>
  <c r="H35" i="13"/>
  <c r="J35" i="13" s="1"/>
  <c r="AJ34" i="13"/>
  <c r="AI34" i="13"/>
  <c r="Z34" i="13"/>
  <c r="W34" i="13"/>
  <c r="S34" i="13"/>
  <c r="P34" i="13"/>
  <c r="M34" i="13"/>
  <c r="H34" i="13"/>
  <c r="J34" i="13" s="1"/>
  <c r="AJ33" i="13"/>
  <c r="AI33" i="13"/>
  <c r="Z33" i="13"/>
  <c r="W33" i="13"/>
  <c r="S33" i="13"/>
  <c r="P33" i="13"/>
  <c r="M33" i="13"/>
  <c r="H33" i="13"/>
  <c r="J33" i="13" s="1"/>
  <c r="AJ32" i="13"/>
  <c r="AI32" i="13"/>
  <c r="Z32" i="13"/>
  <c r="W32" i="13"/>
  <c r="S32" i="13"/>
  <c r="P32" i="13"/>
  <c r="M32" i="13"/>
  <c r="H32" i="13"/>
  <c r="J32" i="13" s="1"/>
  <c r="AJ31" i="13"/>
  <c r="AI31" i="13"/>
  <c r="Z31" i="13"/>
  <c r="W31" i="13"/>
  <c r="S31" i="13"/>
  <c r="P31" i="13"/>
  <c r="M31" i="13"/>
  <c r="H31" i="13"/>
  <c r="J31" i="13" s="1"/>
  <c r="AJ30" i="13"/>
  <c r="AI30" i="13"/>
  <c r="Z30" i="13"/>
  <c r="W30" i="13"/>
  <c r="S30" i="13"/>
  <c r="P30" i="13"/>
  <c r="M30" i="13"/>
  <c r="H30" i="13"/>
  <c r="J30" i="13" s="1"/>
  <c r="AJ29" i="13"/>
  <c r="AI29" i="13"/>
  <c r="Z29" i="13"/>
  <c r="W29" i="13"/>
  <c r="S29" i="13"/>
  <c r="P29" i="13"/>
  <c r="M29" i="13"/>
  <c r="H29" i="13"/>
  <c r="J29" i="13" s="1"/>
  <c r="AJ28" i="13"/>
  <c r="AI28" i="13"/>
  <c r="Z28" i="13"/>
  <c r="W28" i="13"/>
  <c r="S28" i="13"/>
  <c r="P28" i="13"/>
  <c r="M28" i="13"/>
  <c r="H28" i="13"/>
  <c r="J28" i="13" s="1"/>
  <c r="AJ27" i="13"/>
  <c r="AI27" i="13"/>
  <c r="Z27" i="13"/>
  <c r="W27" i="13"/>
  <c r="S27" i="13"/>
  <c r="P27" i="13"/>
  <c r="M27" i="13"/>
  <c r="H27" i="13"/>
  <c r="J27" i="13" s="1"/>
  <c r="AJ26" i="13"/>
  <c r="AI26" i="13"/>
  <c r="Z26" i="13"/>
  <c r="W26" i="13"/>
  <c r="S26" i="13"/>
  <c r="P26" i="13"/>
  <c r="M26" i="13"/>
  <c r="H26" i="13"/>
  <c r="J26" i="13" s="1"/>
  <c r="AJ25" i="13"/>
  <c r="AI25" i="13"/>
  <c r="Z25" i="13"/>
  <c r="W25" i="13"/>
  <c r="S25" i="13"/>
  <c r="P25" i="13"/>
  <c r="M25" i="13"/>
  <c r="H25" i="13"/>
  <c r="J25" i="13" s="1"/>
  <c r="AJ24" i="13"/>
  <c r="AI24" i="13"/>
  <c r="Z24" i="13"/>
  <c r="W24" i="13"/>
  <c r="S24" i="13"/>
  <c r="P24" i="13"/>
  <c r="M24" i="13"/>
  <c r="H24" i="13"/>
  <c r="J24" i="13" s="1"/>
  <c r="AJ23" i="13"/>
  <c r="AI23" i="13"/>
  <c r="Z23" i="13"/>
  <c r="W23" i="13"/>
  <c r="S23" i="13"/>
  <c r="P23" i="13"/>
  <c r="M23" i="13"/>
  <c r="H23" i="13"/>
  <c r="J23" i="13" s="1"/>
  <c r="AJ22" i="13"/>
  <c r="AI22" i="13"/>
  <c r="Z22" i="13"/>
  <c r="W22" i="13"/>
  <c r="S22" i="13"/>
  <c r="P22" i="13"/>
  <c r="M22" i="13"/>
  <c r="H22" i="13"/>
  <c r="J22" i="13" s="1"/>
  <c r="AJ21" i="13"/>
  <c r="AI21" i="13"/>
  <c r="Z21" i="13"/>
  <c r="W21" i="13"/>
  <c r="S21" i="13"/>
  <c r="P21" i="13"/>
  <c r="M21" i="13"/>
  <c r="H21" i="13"/>
  <c r="J21" i="13" s="1"/>
  <c r="AJ20" i="13"/>
  <c r="AI20" i="13"/>
  <c r="Z20" i="13"/>
  <c r="W20" i="13"/>
  <c r="S20" i="13"/>
  <c r="P20" i="13"/>
  <c r="M20" i="13"/>
  <c r="H20" i="13"/>
  <c r="J20" i="13" s="1"/>
  <c r="AJ19" i="13"/>
  <c r="AI19" i="13"/>
  <c r="Z19" i="13"/>
  <c r="W19" i="13"/>
  <c r="S19" i="13"/>
  <c r="P19" i="13"/>
  <c r="M19" i="13"/>
  <c r="H19" i="13"/>
  <c r="J19" i="13" s="1"/>
  <c r="AJ18" i="13"/>
  <c r="AI18" i="13"/>
  <c r="Z18" i="13"/>
  <c r="W18" i="13"/>
  <c r="S18" i="13"/>
  <c r="P18" i="13"/>
  <c r="M18" i="13"/>
  <c r="H18" i="13"/>
  <c r="J18" i="13" s="1"/>
  <c r="AJ17" i="13"/>
  <c r="AI17" i="13"/>
  <c r="Z17" i="13"/>
  <c r="W17" i="13"/>
  <c r="S17" i="13"/>
  <c r="P17" i="13"/>
  <c r="M17" i="13"/>
  <c r="H17" i="13"/>
  <c r="J17" i="13" s="1"/>
  <c r="AJ16" i="13"/>
  <c r="AI16" i="13"/>
  <c r="Z16" i="13"/>
  <c r="W16" i="13"/>
  <c r="S16" i="13"/>
  <c r="P16" i="13"/>
  <c r="M16" i="13"/>
  <c r="H16" i="13"/>
  <c r="J16" i="13" s="1"/>
  <c r="AJ15" i="13"/>
  <c r="AI15" i="13"/>
  <c r="Z15" i="13"/>
  <c r="W15" i="13"/>
  <c r="S15" i="13"/>
  <c r="P15" i="13"/>
  <c r="M15" i="13"/>
  <c r="H15" i="13"/>
  <c r="J15" i="13" s="1"/>
  <c r="AJ14" i="13"/>
  <c r="AI14" i="13"/>
  <c r="Z14" i="13"/>
  <c r="W14" i="13"/>
  <c r="S14" i="13"/>
  <c r="P14" i="13"/>
  <c r="M14" i="13"/>
  <c r="H14" i="13"/>
  <c r="J14" i="13" s="1"/>
  <c r="AJ13" i="13"/>
  <c r="AI13" i="13"/>
  <c r="Z13" i="13"/>
  <c r="W13" i="13"/>
  <c r="S13" i="13"/>
  <c r="P13" i="13"/>
  <c r="M13" i="13"/>
  <c r="H13" i="13"/>
  <c r="J13" i="13" s="1"/>
  <c r="AJ12" i="13"/>
  <c r="AI12" i="13"/>
  <c r="Z12" i="13"/>
  <c r="W12" i="13"/>
  <c r="S12" i="13"/>
  <c r="P12" i="13"/>
  <c r="M12" i="13"/>
  <c r="H12" i="13"/>
  <c r="J12" i="13" s="1"/>
  <c r="AJ11" i="13"/>
  <c r="AI11" i="13"/>
  <c r="Z11" i="13"/>
  <c r="W11" i="13"/>
  <c r="S11" i="13"/>
  <c r="P11" i="13"/>
  <c r="M11" i="13"/>
  <c r="H11" i="13"/>
  <c r="J11" i="13" s="1"/>
  <c r="AJ10" i="13"/>
  <c r="AI10" i="13"/>
  <c r="Z10" i="13"/>
  <c r="W10" i="13"/>
  <c r="S10" i="13"/>
  <c r="P10" i="13"/>
  <c r="M10" i="13"/>
  <c r="H10" i="13"/>
  <c r="J10" i="13" s="1"/>
  <c r="AJ9" i="13"/>
  <c r="AI9" i="13"/>
  <c r="Z9" i="13"/>
  <c r="W9" i="13"/>
  <c r="S9" i="13"/>
  <c r="P9" i="13"/>
  <c r="M9" i="13"/>
  <c r="H9" i="13"/>
  <c r="J9" i="13" s="1"/>
  <c r="AJ8" i="13"/>
  <c r="AI8" i="13"/>
  <c r="Z8" i="13"/>
  <c r="W8" i="13"/>
  <c r="S8" i="13"/>
  <c r="P8" i="13"/>
  <c r="M8" i="13"/>
  <c r="H8" i="13"/>
  <c r="J8" i="13" s="1"/>
  <c r="AJ7" i="13"/>
  <c r="AI7" i="13"/>
  <c r="Z7" i="13"/>
  <c r="W7" i="13"/>
  <c r="S7" i="13"/>
  <c r="P7" i="13"/>
  <c r="M7" i="13"/>
  <c r="H7" i="13"/>
  <c r="J7" i="13" s="1"/>
  <c r="AJ6" i="13"/>
  <c r="AI6" i="13"/>
  <c r="AF6" i="13"/>
  <c r="AF36" i="13" s="1"/>
  <c r="Z6" i="13"/>
  <c r="W6" i="13"/>
  <c r="S6" i="13"/>
  <c r="P6" i="13"/>
  <c r="M6" i="13"/>
  <c r="H6" i="13"/>
  <c r="J6" i="13" s="1"/>
  <c r="Z36" i="13" l="1"/>
  <c r="M36" i="13"/>
  <c r="AJ36" i="13"/>
  <c r="P36" i="13"/>
  <c r="H36" i="13"/>
  <c r="S36" i="13"/>
  <c r="AI36" i="13"/>
  <c r="J36" i="13"/>
  <c r="AH37" i="12" l="1"/>
  <c r="AG37" i="12"/>
  <c r="AE37" i="12"/>
  <c r="AD37" i="12"/>
  <c r="AC37" i="12"/>
  <c r="AB37" i="12"/>
  <c r="AA37" i="12"/>
  <c r="Y37" i="12"/>
  <c r="X37" i="12"/>
  <c r="V37" i="12"/>
  <c r="U37" i="12"/>
  <c r="T37" i="12"/>
  <c r="R37" i="12"/>
  <c r="Q37" i="12"/>
  <c r="O37" i="12"/>
  <c r="N37" i="12"/>
  <c r="L37" i="12"/>
  <c r="K37" i="12"/>
  <c r="I37" i="12"/>
  <c r="G37" i="12"/>
  <c r="F37" i="12"/>
  <c r="E37" i="12"/>
  <c r="D37" i="12"/>
  <c r="C37" i="12"/>
  <c r="B37" i="12"/>
  <c r="AJ36" i="12"/>
  <c r="AI36" i="12"/>
  <c r="Z36" i="12"/>
  <c r="W36" i="12"/>
  <c r="S36" i="12"/>
  <c r="P36" i="12"/>
  <c r="M36" i="12"/>
  <c r="H36" i="12"/>
  <c r="J36" i="12" s="1"/>
  <c r="AJ35" i="12"/>
  <c r="AI35" i="12"/>
  <c r="Z35" i="12"/>
  <c r="W35" i="12"/>
  <c r="S35" i="12"/>
  <c r="P35" i="12"/>
  <c r="M35" i="12"/>
  <c r="H35" i="12"/>
  <c r="J35" i="12" s="1"/>
  <c r="AJ34" i="12"/>
  <c r="AI34" i="12"/>
  <c r="Z34" i="12"/>
  <c r="W34" i="12"/>
  <c r="S34" i="12"/>
  <c r="P34" i="12"/>
  <c r="M34" i="12"/>
  <c r="H34" i="12"/>
  <c r="J34" i="12" s="1"/>
  <c r="AJ33" i="12"/>
  <c r="AI33" i="12"/>
  <c r="Z33" i="12"/>
  <c r="W33" i="12"/>
  <c r="S33" i="12"/>
  <c r="P33" i="12"/>
  <c r="M33" i="12"/>
  <c r="H33" i="12"/>
  <c r="J33" i="12" s="1"/>
  <c r="AJ32" i="12"/>
  <c r="AI32" i="12"/>
  <c r="Z32" i="12"/>
  <c r="W32" i="12"/>
  <c r="S32" i="12"/>
  <c r="P32" i="12"/>
  <c r="M32" i="12"/>
  <c r="H32" i="12"/>
  <c r="J32" i="12" s="1"/>
  <c r="AJ31" i="12"/>
  <c r="AI31" i="12"/>
  <c r="Z31" i="12"/>
  <c r="W31" i="12"/>
  <c r="S31" i="12"/>
  <c r="P31" i="12"/>
  <c r="M31" i="12"/>
  <c r="H31" i="12"/>
  <c r="J31" i="12" s="1"/>
  <c r="AJ30" i="12"/>
  <c r="AI30" i="12"/>
  <c r="Z30" i="12"/>
  <c r="W30" i="12"/>
  <c r="S30" i="12"/>
  <c r="P30" i="12"/>
  <c r="M30" i="12"/>
  <c r="H30" i="12"/>
  <c r="J30" i="12" s="1"/>
  <c r="AJ29" i="12"/>
  <c r="AI29" i="12"/>
  <c r="Z29" i="12"/>
  <c r="W29" i="12"/>
  <c r="S29" i="12"/>
  <c r="P29" i="12"/>
  <c r="M29" i="12"/>
  <c r="H29" i="12"/>
  <c r="J29" i="12" s="1"/>
  <c r="AJ28" i="12"/>
  <c r="AI28" i="12"/>
  <c r="Z28" i="12"/>
  <c r="W28" i="12"/>
  <c r="S28" i="12"/>
  <c r="P28" i="12"/>
  <c r="M28" i="12"/>
  <c r="H28" i="12"/>
  <c r="J28" i="12" s="1"/>
  <c r="AJ27" i="12"/>
  <c r="AI27" i="12"/>
  <c r="Z27" i="12"/>
  <c r="W27" i="12"/>
  <c r="S27" i="12"/>
  <c r="P27" i="12"/>
  <c r="M27" i="12"/>
  <c r="H27" i="12"/>
  <c r="J27" i="12" s="1"/>
  <c r="AJ26" i="12"/>
  <c r="AI26" i="12"/>
  <c r="Z26" i="12"/>
  <c r="W26" i="12"/>
  <c r="S26" i="12"/>
  <c r="P26" i="12"/>
  <c r="M26" i="12"/>
  <c r="H26" i="12"/>
  <c r="J26" i="12" s="1"/>
  <c r="AJ25" i="12"/>
  <c r="AI25" i="12"/>
  <c r="Z25" i="12"/>
  <c r="W25" i="12"/>
  <c r="S25" i="12"/>
  <c r="P25" i="12"/>
  <c r="M25" i="12"/>
  <c r="H25" i="12"/>
  <c r="J25" i="12" s="1"/>
  <c r="AJ24" i="12"/>
  <c r="AI24" i="12"/>
  <c r="Z24" i="12"/>
  <c r="W24" i="12"/>
  <c r="S24" i="12"/>
  <c r="P24" i="12"/>
  <c r="M24" i="12"/>
  <c r="H24" i="12"/>
  <c r="J24" i="12" s="1"/>
  <c r="AJ23" i="12"/>
  <c r="AI23" i="12"/>
  <c r="Z23" i="12"/>
  <c r="W23" i="12"/>
  <c r="S23" i="12"/>
  <c r="P23" i="12"/>
  <c r="M23" i="12"/>
  <c r="H23" i="12"/>
  <c r="J23" i="12" s="1"/>
  <c r="AJ22" i="12"/>
  <c r="AI22" i="12"/>
  <c r="Z22" i="12"/>
  <c r="W22" i="12"/>
  <c r="S22" i="12"/>
  <c r="P22" i="12"/>
  <c r="M22" i="12"/>
  <c r="H22" i="12"/>
  <c r="J22" i="12" s="1"/>
  <c r="AJ21" i="12"/>
  <c r="AI21" i="12"/>
  <c r="Z21" i="12"/>
  <c r="W21" i="12"/>
  <c r="S21" i="12"/>
  <c r="P21" i="12"/>
  <c r="M21" i="12"/>
  <c r="H21" i="12"/>
  <c r="J21" i="12" s="1"/>
  <c r="AJ20" i="12"/>
  <c r="AI20" i="12"/>
  <c r="Z20" i="12"/>
  <c r="W20" i="12"/>
  <c r="S20" i="12"/>
  <c r="P20" i="12"/>
  <c r="M20" i="12"/>
  <c r="H20" i="12"/>
  <c r="J20" i="12" s="1"/>
  <c r="AJ19" i="12"/>
  <c r="AI19" i="12"/>
  <c r="Z19" i="12"/>
  <c r="W19" i="12"/>
  <c r="S19" i="12"/>
  <c r="P19" i="12"/>
  <c r="M19" i="12"/>
  <c r="H19" i="12"/>
  <c r="J19" i="12" s="1"/>
  <c r="AJ18" i="12"/>
  <c r="AI18" i="12"/>
  <c r="Z18" i="12"/>
  <c r="W18" i="12"/>
  <c r="S18" i="12"/>
  <c r="P18" i="12"/>
  <c r="M18" i="12"/>
  <c r="H18" i="12"/>
  <c r="J18" i="12" s="1"/>
  <c r="AJ17" i="12"/>
  <c r="AI17" i="12"/>
  <c r="Z17" i="12"/>
  <c r="W17" i="12"/>
  <c r="S17" i="12"/>
  <c r="P17" i="12"/>
  <c r="M17" i="12"/>
  <c r="H17" i="12"/>
  <c r="J17" i="12" s="1"/>
  <c r="AJ16" i="12"/>
  <c r="AI16" i="12"/>
  <c r="Z16" i="12"/>
  <c r="W16" i="12"/>
  <c r="S16" i="12"/>
  <c r="P16" i="12"/>
  <c r="M16" i="12"/>
  <c r="H16" i="12"/>
  <c r="J16" i="12" s="1"/>
  <c r="AJ15" i="12"/>
  <c r="AI15" i="12"/>
  <c r="Z15" i="12"/>
  <c r="W15" i="12"/>
  <c r="S15" i="12"/>
  <c r="P15" i="12"/>
  <c r="M15" i="12"/>
  <c r="H15" i="12"/>
  <c r="J15" i="12" s="1"/>
  <c r="AJ14" i="12"/>
  <c r="AI14" i="12"/>
  <c r="Z14" i="12"/>
  <c r="W14" i="12"/>
  <c r="S14" i="12"/>
  <c r="P14" i="12"/>
  <c r="M14" i="12"/>
  <c r="H14" i="12"/>
  <c r="J14" i="12" s="1"/>
  <c r="AJ13" i="12"/>
  <c r="AI13" i="12"/>
  <c r="Z13" i="12"/>
  <c r="W13" i="12"/>
  <c r="S13" i="12"/>
  <c r="P13" i="12"/>
  <c r="M13" i="12"/>
  <c r="H13" i="12"/>
  <c r="J13" i="12" s="1"/>
  <c r="AJ12" i="12"/>
  <c r="AI12" i="12"/>
  <c r="Z12" i="12"/>
  <c r="W12" i="12"/>
  <c r="S12" i="12"/>
  <c r="P12" i="12"/>
  <c r="M12" i="12"/>
  <c r="H12" i="12"/>
  <c r="J12" i="12" s="1"/>
  <c r="AJ11" i="12"/>
  <c r="AI11" i="12"/>
  <c r="Z11" i="12"/>
  <c r="W11" i="12"/>
  <c r="S11" i="12"/>
  <c r="P11" i="12"/>
  <c r="M11" i="12"/>
  <c r="H11" i="12"/>
  <c r="J11" i="12" s="1"/>
  <c r="AJ10" i="12"/>
  <c r="AI10" i="12"/>
  <c r="Z10" i="12"/>
  <c r="W10" i="12"/>
  <c r="S10" i="12"/>
  <c r="P10" i="12"/>
  <c r="M10" i="12"/>
  <c r="H10" i="12"/>
  <c r="J10" i="12" s="1"/>
  <c r="AJ9" i="12"/>
  <c r="AI9" i="12"/>
  <c r="Z9" i="12"/>
  <c r="W9" i="12"/>
  <c r="S9" i="12"/>
  <c r="P9" i="12"/>
  <c r="M9" i="12"/>
  <c r="H9" i="12"/>
  <c r="J9" i="12" s="1"/>
  <c r="AJ8" i="12"/>
  <c r="AI8" i="12"/>
  <c r="Z8" i="12"/>
  <c r="W8" i="12"/>
  <c r="S8" i="12"/>
  <c r="P8" i="12"/>
  <c r="M8" i="12"/>
  <c r="H8" i="12"/>
  <c r="J8" i="12" s="1"/>
  <c r="AJ7" i="12"/>
  <c r="AI7" i="12"/>
  <c r="Z7" i="12"/>
  <c r="W7" i="12"/>
  <c r="S7" i="12"/>
  <c r="P7" i="12"/>
  <c r="M7" i="12"/>
  <c r="H7" i="12"/>
  <c r="J7" i="12" s="1"/>
  <c r="AJ6" i="12"/>
  <c r="AI6" i="12"/>
  <c r="AF6" i="12"/>
  <c r="AF37" i="12" s="1"/>
  <c r="Z6" i="12"/>
  <c r="W6" i="12"/>
  <c r="S6" i="12"/>
  <c r="P6" i="12"/>
  <c r="M6" i="12"/>
  <c r="H6" i="12"/>
  <c r="J6" i="12" s="1"/>
  <c r="Z37" i="12" l="1"/>
  <c r="M37" i="12"/>
  <c r="AJ37" i="12"/>
  <c r="P37" i="12"/>
  <c r="S37" i="12"/>
  <c r="AI37" i="12"/>
  <c r="H37" i="12"/>
  <c r="J37" i="12" s="1"/>
  <c r="AH36" i="11" l="1"/>
  <c r="AG36" i="11"/>
  <c r="AE36" i="11"/>
  <c r="AD36" i="11"/>
  <c r="AC36" i="11"/>
  <c r="AB36" i="11"/>
  <c r="AA36" i="11"/>
  <c r="Y36" i="11"/>
  <c r="X36" i="11"/>
  <c r="V36" i="11"/>
  <c r="U36" i="11"/>
  <c r="T36" i="11"/>
  <c r="R36" i="11"/>
  <c r="Q36" i="11"/>
  <c r="O36" i="11"/>
  <c r="N36" i="11"/>
  <c r="L36" i="11"/>
  <c r="K36" i="11"/>
  <c r="I36" i="11"/>
  <c r="G36" i="11"/>
  <c r="F36" i="11"/>
  <c r="E36" i="11"/>
  <c r="D36" i="11"/>
  <c r="C36" i="11"/>
  <c r="B36" i="11"/>
  <c r="AJ35" i="11"/>
  <c r="AI35" i="11"/>
  <c r="Z35" i="11"/>
  <c r="W35" i="11"/>
  <c r="S35" i="11"/>
  <c r="P35" i="11"/>
  <c r="M35" i="11"/>
  <c r="H35" i="11"/>
  <c r="J35" i="11" s="1"/>
  <c r="AJ34" i="11"/>
  <c r="AI34" i="11"/>
  <c r="Z34" i="11"/>
  <c r="W34" i="11"/>
  <c r="S34" i="11"/>
  <c r="P34" i="11"/>
  <c r="M34" i="11"/>
  <c r="H34" i="11"/>
  <c r="J34" i="11" s="1"/>
  <c r="AJ33" i="11"/>
  <c r="AI33" i="11"/>
  <c r="Z33" i="11"/>
  <c r="W33" i="11"/>
  <c r="S33" i="11"/>
  <c r="P33" i="11"/>
  <c r="M33" i="11"/>
  <c r="H33" i="11"/>
  <c r="J33" i="11" s="1"/>
  <c r="AJ32" i="11"/>
  <c r="AI32" i="11"/>
  <c r="Z32" i="11"/>
  <c r="W32" i="11"/>
  <c r="S32" i="11"/>
  <c r="P32" i="11"/>
  <c r="M32" i="11"/>
  <c r="H32" i="11"/>
  <c r="J32" i="11" s="1"/>
  <c r="AJ31" i="11"/>
  <c r="AI31" i="11"/>
  <c r="Z31" i="11"/>
  <c r="W31" i="11"/>
  <c r="S31" i="11"/>
  <c r="P31" i="11"/>
  <c r="M31" i="11"/>
  <c r="H31" i="11"/>
  <c r="J31" i="11" s="1"/>
  <c r="AJ30" i="11"/>
  <c r="AI30" i="11"/>
  <c r="Z30" i="11"/>
  <c r="W30" i="11"/>
  <c r="S30" i="11"/>
  <c r="P30" i="11"/>
  <c r="M30" i="11"/>
  <c r="H30" i="11"/>
  <c r="J30" i="11" s="1"/>
  <c r="AJ29" i="11"/>
  <c r="AI29" i="11"/>
  <c r="Z29" i="11"/>
  <c r="W29" i="11"/>
  <c r="S29" i="11"/>
  <c r="P29" i="11"/>
  <c r="M29" i="11"/>
  <c r="H29" i="11"/>
  <c r="J29" i="11" s="1"/>
  <c r="AJ28" i="11"/>
  <c r="AI28" i="11"/>
  <c r="Z28" i="11"/>
  <c r="W28" i="11"/>
  <c r="S28" i="11"/>
  <c r="P28" i="11"/>
  <c r="M28" i="11"/>
  <c r="H28" i="11"/>
  <c r="J28" i="11" s="1"/>
  <c r="AJ27" i="11"/>
  <c r="AI27" i="11"/>
  <c r="Z27" i="11"/>
  <c r="W27" i="11"/>
  <c r="S27" i="11"/>
  <c r="P27" i="11"/>
  <c r="M27" i="11"/>
  <c r="H27" i="11"/>
  <c r="J27" i="11" s="1"/>
  <c r="AJ26" i="11"/>
  <c r="AI26" i="11"/>
  <c r="Z26" i="11"/>
  <c r="W26" i="11"/>
  <c r="S26" i="11"/>
  <c r="P26" i="11"/>
  <c r="M26" i="11"/>
  <c r="J26" i="11"/>
  <c r="H26" i="11"/>
  <c r="AJ25" i="11"/>
  <c r="AI25" i="11"/>
  <c r="Z25" i="11"/>
  <c r="W25" i="11"/>
  <c r="S25" i="11"/>
  <c r="P25" i="11"/>
  <c r="M25" i="11"/>
  <c r="H25" i="11"/>
  <c r="J25" i="11" s="1"/>
  <c r="AJ24" i="11"/>
  <c r="AI24" i="11"/>
  <c r="Z24" i="11"/>
  <c r="W24" i="11"/>
  <c r="S24" i="11"/>
  <c r="P24" i="11"/>
  <c r="M24" i="11"/>
  <c r="H24" i="11"/>
  <c r="J24" i="11" s="1"/>
  <c r="AJ23" i="11"/>
  <c r="AI23" i="11"/>
  <c r="Z23" i="11"/>
  <c r="W23" i="11"/>
  <c r="S23" i="11"/>
  <c r="P23" i="11"/>
  <c r="M23" i="11"/>
  <c r="H23" i="11"/>
  <c r="J23" i="11" s="1"/>
  <c r="AJ22" i="11"/>
  <c r="AI22" i="11"/>
  <c r="Z22" i="11"/>
  <c r="W22" i="11"/>
  <c r="S22" i="11"/>
  <c r="P22" i="11"/>
  <c r="M22" i="11"/>
  <c r="H22" i="11"/>
  <c r="J22" i="11" s="1"/>
  <c r="AJ21" i="11"/>
  <c r="AI21" i="11"/>
  <c r="Z21" i="11"/>
  <c r="W21" i="11"/>
  <c r="S21" i="11"/>
  <c r="P21" i="11"/>
  <c r="M21" i="11"/>
  <c r="H21" i="11"/>
  <c r="J21" i="11" s="1"/>
  <c r="AJ20" i="11"/>
  <c r="AI20" i="11"/>
  <c r="Z20" i="11"/>
  <c r="W20" i="11"/>
  <c r="S20" i="11"/>
  <c r="P20" i="11"/>
  <c r="M20" i="11"/>
  <c r="H20" i="11"/>
  <c r="J20" i="11" s="1"/>
  <c r="AJ19" i="11"/>
  <c r="AI19" i="11"/>
  <c r="Z19" i="11"/>
  <c r="W19" i="11"/>
  <c r="S19" i="11"/>
  <c r="P19" i="11"/>
  <c r="M19" i="11"/>
  <c r="H19" i="11"/>
  <c r="J19" i="11" s="1"/>
  <c r="AJ18" i="11"/>
  <c r="AI18" i="11"/>
  <c r="Z18" i="11"/>
  <c r="W18" i="11"/>
  <c r="S18" i="11"/>
  <c r="P18" i="11"/>
  <c r="M18" i="11"/>
  <c r="H18" i="11"/>
  <c r="J18" i="11" s="1"/>
  <c r="AJ17" i="11"/>
  <c r="AI17" i="11"/>
  <c r="Z17" i="11"/>
  <c r="W17" i="11"/>
  <c r="S17" i="11"/>
  <c r="P17" i="11"/>
  <c r="M17" i="11"/>
  <c r="H17" i="11"/>
  <c r="J17" i="11" s="1"/>
  <c r="AJ16" i="11"/>
  <c r="AI16" i="11"/>
  <c r="Z16" i="11"/>
  <c r="W16" i="11"/>
  <c r="S16" i="11"/>
  <c r="P16" i="11"/>
  <c r="M16" i="11"/>
  <c r="H16" i="11"/>
  <c r="J16" i="11" s="1"/>
  <c r="AJ15" i="11"/>
  <c r="AI15" i="11"/>
  <c r="Z15" i="11"/>
  <c r="W15" i="11"/>
  <c r="S15" i="11"/>
  <c r="P15" i="11"/>
  <c r="M15" i="11"/>
  <c r="H15" i="11"/>
  <c r="J15" i="11" s="1"/>
  <c r="AJ14" i="11"/>
  <c r="AI14" i="11"/>
  <c r="Z14" i="11"/>
  <c r="W14" i="11"/>
  <c r="S14" i="11"/>
  <c r="P14" i="11"/>
  <c r="M14" i="11"/>
  <c r="H14" i="11"/>
  <c r="J14" i="11" s="1"/>
  <c r="AJ13" i="11"/>
  <c r="AI13" i="11"/>
  <c r="Z13" i="11"/>
  <c r="W13" i="11"/>
  <c r="S13" i="11"/>
  <c r="P13" i="11"/>
  <c r="M13" i="11"/>
  <c r="H13" i="11"/>
  <c r="J13" i="11" s="1"/>
  <c r="AJ12" i="11"/>
  <c r="AI12" i="11"/>
  <c r="Z12" i="11"/>
  <c r="W12" i="11"/>
  <c r="S12" i="11"/>
  <c r="P12" i="11"/>
  <c r="M12" i="11"/>
  <c r="H12" i="11"/>
  <c r="J12" i="11" s="1"/>
  <c r="AJ11" i="11"/>
  <c r="AI11" i="11"/>
  <c r="Z11" i="11"/>
  <c r="W11" i="11"/>
  <c r="S11" i="11"/>
  <c r="P11" i="11"/>
  <c r="M11" i="11"/>
  <c r="H11" i="11"/>
  <c r="J11" i="11" s="1"/>
  <c r="AJ10" i="11"/>
  <c r="AI10" i="11"/>
  <c r="Z10" i="11"/>
  <c r="W10" i="11"/>
  <c r="S10" i="11"/>
  <c r="P10" i="11"/>
  <c r="M10" i="11"/>
  <c r="H10" i="11"/>
  <c r="J10" i="11" s="1"/>
  <c r="AJ9" i="11"/>
  <c r="AI9" i="11"/>
  <c r="Z9" i="11"/>
  <c r="W9" i="11"/>
  <c r="S9" i="11"/>
  <c r="P9" i="11"/>
  <c r="M9" i="11"/>
  <c r="H9" i="11"/>
  <c r="J9" i="11" s="1"/>
  <c r="AJ8" i="11"/>
  <c r="AI8" i="11"/>
  <c r="Z8" i="11"/>
  <c r="W8" i="11"/>
  <c r="S8" i="11"/>
  <c r="P8" i="11"/>
  <c r="M8" i="11"/>
  <c r="H8" i="11"/>
  <c r="J8" i="11" s="1"/>
  <c r="AJ7" i="11"/>
  <c r="AI7" i="11"/>
  <c r="Z7" i="11"/>
  <c r="W7" i="11"/>
  <c r="S7" i="11"/>
  <c r="P7" i="11"/>
  <c r="M7" i="11"/>
  <c r="H7" i="11"/>
  <c r="J7" i="11" s="1"/>
  <c r="AJ6" i="11"/>
  <c r="AI6" i="11"/>
  <c r="AF6" i="11"/>
  <c r="AF36" i="11" s="1"/>
  <c r="Z6" i="11"/>
  <c r="W6" i="11"/>
  <c r="S6" i="11"/>
  <c r="P6" i="11"/>
  <c r="M6" i="11"/>
  <c r="H6" i="11"/>
  <c r="J6" i="11" s="1"/>
  <c r="M36" i="11" l="1"/>
  <c r="AJ36" i="11"/>
  <c r="H36" i="11"/>
  <c r="J36" i="11" s="1"/>
  <c r="P36" i="11"/>
  <c r="Z36" i="11"/>
  <c r="S36" i="11"/>
  <c r="AI36" i="11"/>
  <c r="AH37" i="10"/>
  <c r="AG37" i="10"/>
  <c r="AE37" i="10"/>
  <c r="AD37" i="10"/>
  <c r="AC37" i="10"/>
  <c r="AB37" i="10"/>
  <c r="AA37" i="10"/>
  <c r="Y37" i="10"/>
  <c r="X37" i="10"/>
  <c r="V37" i="10"/>
  <c r="U37" i="10"/>
  <c r="T37" i="10"/>
  <c r="R37" i="10"/>
  <c r="Q37" i="10"/>
  <c r="O37" i="10"/>
  <c r="N37" i="10"/>
  <c r="L37" i="10"/>
  <c r="M37" i="10" s="1"/>
  <c r="K37" i="10"/>
  <c r="I37" i="10"/>
  <c r="G37" i="10"/>
  <c r="F37" i="10"/>
  <c r="E37" i="10"/>
  <c r="D37" i="10"/>
  <c r="C37" i="10"/>
  <c r="B37" i="10"/>
  <c r="AJ36" i="10"/>
  <c r="AI36" i="10"/>
  <c r="Z36" i="10"/>
  <c r="W36" i="10"/>
  <c r="S36" i="10"/>
  <c r="P36" i="10"/>
  <c r="M36" i="10"/>
  <c r="H36" i="10"/>
  <c r="J36" i="10" s="1"/>
  <c r="AJ35" i="10"/>
  <c r="AI35" i="10"/>
  <c r="Z35" i="10"/>
  <c r="W35" i="10"/>
  <c r="S35" i="10"/>
  <c r="P35" i="10"/>
  <c r="M35" i="10"/>
  <c r="J35" i="10"/>
  <c r="H35" i="10"/>
  <c r="AJ34" i="10"/>
  <c r="AI34" i="10"/>
  <c r="Z34" i="10"/>
  <c r="W34" i="10"/>
  <c r="S34" i="10"/>
  <c r="P34" i="10"/>
  <c r="M34" i="10"/>
  <c r="H34" i="10"/>
  <c r="J34" i="10" s="1"/>
  <c r="AJ33" i="10"/>
  <c r="AI33" i="10"/>
  <c r="Z33" i="10"/>
  <c r="W33" i="10"/>
  <c r="S33" i="10"/>
  <c r="P33" i="10"/>
  <c r="M33" i="10"/>
  <c r="H33" i="10"/>
  <c r="J33" i="10" s="1"/>
  <c r="AJ32" i="10"/>
  <c r="AI32" i="10"/>
  <c r="Z32" i="10"/>
  <c r="W32" i="10"/>
  <c r="S32" i="10"/>
  <c r="P32" i="10"/>
  <c r="M32" i="10"/>
  <c r="H32" i="10"/>
  <c r="J32" i="10" s="1"/>
  <c r="AJ31" i="10"/>
  <c r="AI31" i="10"/>
  <c r="Z31" i="10"/>
  <c r="W31" i="10"/>
  <c r="S31" i="10"/>
  <c r="P31" i="10"/>
  <c r="M31" i="10"/>
  <c r="H31" i="10"/>
  <c r="J31" i="10" s="1"/>
  <c r="AJ30" i="10"/>
  <c r="AI30" i="10"/>
  <c r="Z30" i="10"/>
  <c r="W30" i="10"/>
  <c r="S30" i="10"/>
  <c r="P30" i="10"/>
  <c r="M30" i="10"/>
  <c r="J30" i="10"/>
  <c r="H30" i="10"/>
  <c r="AJ29" i="10"/>
  <c r="AI29" i="10"/>
  <c r="Z29" i="10"/>
  <c r="W29" i="10"/>
  <c r="S29" i="10"/>
  <c r="P29" i="10"/>
  <c r="M29" i="10"/>
  <c r="H29" i="10"/>
  <c r="J29" i="10" s="1"/>
  <c r="AJ28" i="10"/>
  <c r="AI28" i="10"/>
  <c r="Z28" i="10"/>
  <c r="W28" i="10"/>
  <c r="S28" i="10"/>
  <c r="P28" i="10"/>
  <c r="M28" i="10"/>
  <c r="H28" i="10"/>
  <c r="J28" i="10" s="1"/>
  <c r="AJ27" i="10"/>
  <c r="AI27" i="10"/>
  <c r="Z27" i="10"/>
  <c r="W27" i="10"/>
  <c r="S27" i="10"/>
  <c r="P27" i="10"/>
  <c r="M27" i="10"/>
  <c r="H27" i="10"/>
  <c r="J27" i="10" s="1"/>
  <c r="AJ26" i="10"/>
  <c r="AI26" i="10"/>
  <c r="Z26" i="10"/>
  <c r="W26" i="10"/>
  <c r="S26" i="10"/>
  <c r="P26" i="10"/>
  <c r="M26" i="10"/>
  <c r="H26" i="10"/>
  <c r="J26" i="10" s="1"/>
  <c r="AJ25" i="10"/>
  <c r="AI25" i="10"/>
  <c r="Z25" i="10"/>
  <c r="W25" i="10"/>
  <c r="S25" i="10"/>
  <c r="P25" i="10"/>
  <c r="M25" i="10"/>
  <c r="H25" i="10"/>
  <c r="J25" i="10" s="1"/>
  <c r="AJ24" i="10"/>
  <c r="AI24" i="10"/>
  <c r="Z24" i="10"/>
  <c r="W24" i="10"/>
  <c r="S24" i="10"/>
  <c r="P24" i="10"/>
  <c r="M24" i="10"/>
  <c r="H24" i="10"/>
  <c r="J24" i="10" s="1"/>
  <c r="AJ23" i="10"/>
  <c r="AI23" i="10"/>
  <c r="Z23" i="10"/>
  <c r="W23" i="10"/>
  <c r="S23" i="10"/>
  <c r="P23" i="10"/>
  <c r="M23" i="10"/>
  <c r="H23" i="10"/>
  <c r="J23" i="10" s="1"/>
  <c r="AJ22" i="10"/>
  <c r="AI22" i="10"/>
  <c r="Z22" i="10"/>
  <c r="W22" i="10"/>
  <c r="S22" i="10"/>
  <c r="P22" i="10"/>
  <c r="M22" i="10"/>
  <c r="J22" i="10"/>
  <c r="H22" i="10"/>
  <c r="AJ21" i="10"/>
  <c r="AI21" i="10"/>
  <c r="Z21" i="10"/>
  <c r="W21" i="10"/>
  <c r="S21" i="10"/>
  <c r="P21" i="10"/>
  <c r="M21" i="10"/>
  <c r="H21" i="10"/>
  <c r="J21" i="10" s="1"/>
  <c r="AJ20" i="10"/>
  <c r="AI20" i="10"/>
  <c r="Z20" i="10"/>
  <c r="W20" i="10"/>
  <c r="S20" i="10"/>
  <c r="P20" i="10"/>
  <c r="M20" i="10"/>
  <c r="H20" i="10"/>
  <c r="J20" i="10" s="1"/>
  <c r="AJ19" i="10"/>
  <c r="AI19" i="10"/>
  <c r="Z19" i="10"/>
  <c r="W19" i="10"/>
  <c r="S19" i="10"/>
  <c r="P19" i="10"/>
  <c r="M19" i="10"/>
  <c r="H19" i="10"/>
  <c r="J19" i="10" s="1"/>
  <c r="AJ18" i="10"/>
  <c r="AI18" i="10"/>
  <c r="Z18" i="10"/>
  <c r="W18" i="10"/>
  <c r="S18" i="10"/>
  <c r="P18" i="10"/>
  <c r="M18" i="10"/>
  <c r="H18" i="10"/>
  <c r="J18" i="10" s="1"/>
  <c r="AJ17" i="10"/>
  <c r="AI17" i="10"/>
  <c r="Z17" i="10"/>
  <c r="W17" i="10"/>
  <c r="S17" i="10"/>
  <c r="P17" i="10"/>
  <c r="M17" i="10"/>
  <c r="H17" i="10"/>
  <c r="J17" i="10" s="1"/>
  <c r="AJ16" i="10"/>
  <c r="AI16" i="10"/>
  <c r="Z16" i="10"/>
  <c r="W16" i="10"/>
  <c r="S16" i="10"/>
  <c r="P16" i="10"/>
  <c r="M16" i="10"/>
  <c r="H16" i="10"/>
  <c r="J16" i="10" s="1"/>
  <c r="AJ15" i="10"/>
  <c r="AI15" i="10"/>
  <c r="Z15" i="10"/>
  <c r="W15" i="10"/>
  <c r="S15" i="10"/>
  <c r="P15" i="10"/>
  <c r="M15" i="10"/>
  <c r="H15" i="10"/>
  <c r="J15" i="10" s="1"/>
  <c r="AJ14" i="10"/>
  <c r="AI14" i="10"/>
  <c r="Z14" i="10"/>
  <c r="W14" i="10"/>
  <c r="S14" i="10"/>
  <c r="P14" i="10"/>
  <c r="M14" i="10"/>
  <c r="H14" i="10"/>
  <c r="J14" i="10" s="1"/>
  <c r="AJ13" i="10"/>
  <c r="AI13" i="10"/>
  <c r="Z13" i="10"/>
  <c r="W13" i="10"/>
  <c r="S13" i="10"/>
  <c r="P13" i="10"/>
  <c r="M13" i="10"/>
  <c r="H13" i="10"/>
  <c r="J13" i="10" s="1"/>
  <c r="AJ12" i="10"/>
  <c r="AI12" i="10"/>
  <c r="Z12" i="10"/>
  <c r="W12" i="10"/>
  <c r="S12" i="10"/>
  <c r="P12" i="10"/>
  <c r="M12" i="10"/>
  <c r="H12" i="10"/>
  <c r="J12" i="10" s="1"/>
  <c r="AJ11" i="10"/>
  <c r="AI11" i="10"/>
  <c r="Z11" i="10"/>
  <c r="W11" i="10"/>
  <c r="S11" i="10"/>
  <c r="P11" i="10"/>
  <c r="M11" i="10"/>
  <c r="H11" i="10"/>
  <c r="J11" i="10" s="1"/>
  <c r="AJ10" i="10"/>
  <c r="AI10" i="10"/>
  <c r="Z10" i="10"/>
  <c r="W10" i="10"/>
  <c r="S10" i="10"/>
  <c r="P10" i="10"/>
  <c r="M10" i="10"/>
  <c r="H10" i="10"/>
  <c r="J10" i="10" s="1"/>
  <c r="AJ9" i="10"/>
  <c r="AI9" i="10"/>
  <c r="Z9" i="10"/>
  <c r="W9" i="10"/>
  <c r="S9" i="10"/>
  <c r="P9" i="10"/>
  <c r="M9" i="10"/>
  <c r="H9" i="10"/>
  <c r="J9" i="10" s="1"/>
  <c r="AJ8" i="10"/>
  <c r="AI8" i="10"/>
  <c r="Z8" i="10"/>
  <c r="W8" i="10"/>
  <c r="S8" i="10"/>
  <c r="P8" i="10"/>
  <c r="M8" i="10"/>
  <c r="H8" i="10"/>
  <c r="J8" i="10" s="1"/>
  <c r="AJ7" i="10"/>
  <c r="AI7" i="10"/>
  <c r="Z7" i="10"/>
  <c r="S7" i="10"/>
  <c r="P7" i="10"/>
  <c r="M7" i="10"/>
  <c r="H7" i="10"/>
  <c r="J7" i="10" s="1"/>
  <c r="AJ6" i="10"/>
  <c r="AI6" i="10"/>
  <c r="AF6" i="10"/>
  <c r="AF37" i="10" s="1"/>
  <c r="Z6" i="10"/>
  <c r="S6" i="10"/>
  <c r="P6" i="10"/>
  <c r="M6" i="10"/>
  <c r="H6" i="10"/>
  <c r="H37" i="10" l="1"/>
  <c r="S37" i="10"/>
  <c r="AI37" i="10"/>
  <c r="AJ37" i="10"/>
  <c r="P37" i="10"/>
  <c r="Z37" i="10"/>
  <c r="J37" i="10"/>
  <c r="J6" i="10"/>
  <c r="AG34" i="9"/>
  <c r="AF34" i="9"/>
  <c r="AD34" i="9"/>
  <c r="AC34" i="9"/>
  <c r="AB34" i="9"/>
  <c r="AA34" i="9"/>
  <c r="Z34" i="9"/>
  <c r="Y34" i="9"/>
  <c r="X34" i="9"/>
  <c r="W34" i="9"/>
  <c r="V34" i="9"/>
  <c r="U34" i="9"/>
  <c r="T34" i="9"/>
  <c r="R34" i="9"/>
  <c r="Q34" i="9"/>
  <c r="O34" i="9"/>
  <c r="N34" i="9"/>
  <c r="L34" i="9"/>
  <c r="K34" i="9"/>
  <c r="I34" i="9"/>
  <c r="G34" i="9"/>
  <c r="F34" i="9"/>
  <c r="E34" i="9"/>
  <c r="D34" i="9"/>
  <c r="C34" i="9"/>
  <c r="B34" i="9"/>
  <c r="AI33" i="9"/>
  <c r="S33" i="9"/>
  <c r="P33" i="9"/>
  <c r="M33" i="9"/>
  <c r="H33" i="9"/>
  <c r="J33" i="9" s="1"/>
  <c r="AI32" i="9"/>
  <c r="S32" i="9"/>
  <c r="P32" i="9"/>
  <c r="M32" i="9"/>
  <c r="H32" i="9"/>
  <c r="J32" i="9" s="1"/>
  <c r="AI31" i="9"/>
  <c r="S31" i="9"/>
  <c r="P31" i="9"/>
  <c r="M31" i="9"/>
  <c r="H31" i="9"/>
  <c r="J31" i="9" s="1"/>
  <c r="AI30" i="9"/>
  <c r="S30" i="9"/>
  <c r="P30" i="9"/>
  <c r="M30" i="9"/>
  <c r="H30" i="9"/>
  <c r="J30" i="9" s="1"/>
  <c r="AI29" i="9"/>
  <c r="S29" i="9"/>
  <c r="P29" i="9"/>
  <c r="M29" i="9"/>
  <c r="H29" i="9"/>
  <c r="J29" i="9" s="1"/>
  <c r="AI28" i="9"/>
  <c r="S28" i="9"/>
  <c r="P28" i="9"/>
  <c r="M28" i="9"/>
  <c r="H28" i="9"/>
  <c r="J28" i="9" s="1"/>
  <c r="AI27" i="9"/>
  <c r="S27" i="9"/>
  <c r="P27" i="9"/>
  <c r="M27" i="9"/>
  <c r="H27" i="9"/>
  <c r="J27" i="9" s="1"/>
  <c r="AI26" i="9"/>
  <c r="S26" i="9"/>
  <c r="P26" i="9"/>
  <c r="M26" i="9"/>
  <c r="H26" i="9"/>
  <c r="J26" i="9" s="1"/>
  <c r="AI25" i="9"/>
  <c r="S25" i="9"/>
  <c r="P25" i="9"/>
  <c r="M25" i="9"/>
  <c r="H25" i="9"/>
  <c r="J25" i="9" s="1"/>
  <c r="AI24" i="9"/>
  <c r="S24" i="9"/>
  <c r="P24" i="9"/>
  <c r="M24" i="9"/>
  <c r="H24" i="9"/>
  <c r="J24" i="9" s="1"/>
  <c r="AI23" i="9"/>
  <c r="S23" i="9"/>
  <c r="P23" i="9"/>
  <c r="M23" i="9"/>
  <c r="H23" i="9"/>
  <c r="J23" i="9" s="1"/>
  <c r="AI22" i="9"/>
  <c r="S22" i="9"/>
  <c r="P22" i="9"/>
  <c r="M22" i="9"/>
  <c r="H22" i="9"/>
  <c r="J22" i="9" s="1"/>
  <c r="AI21" i="9"/>
  <c r="S21" i="9"/>
  <c r="P21" i="9"/>
  <c r="M21" i="9"/>
  <c r="H21" i="9"/>
  <c r="J21" i="9" s="1"/>
  <c r="AI20" i="9"/>
  <c r="S20" i="9"/>
  <c r="P20" i="9"/>
  <c r="M20" i="9"/>
  <c r="H20" i="9"/>
  <c r="J20" i="9" s="1"/>
  <c r="AI19" i="9"/>
  <c r="S19" i="9"/>
  <c r="P19" i="9"/>
  <c r="M19" i="9"/>
  <c r="H19" i="9"/>
  <c r="J19" i="9" s="1"/>
  <c r="AI18" i="9"/>
  <c r="S18" i="9"/>
  <c r="P18" i="9"/>
  <c r="M18" i="9"/>
  <c r="H18" i="9"/>
  <c r="J18" i="9" s="1"/>
  <c r="AI17" i="9"/>
  <c r="S17" i="9"/>
  <c r="P17" i="9"/>
  <c r="M17" i="9"/>
  <c r="H17" i="9"/>
  <c r="J17" i="9" s="1"/>
  <c r="AI16" i="9"/>
  <c r="S16" i="9"/>
  <c r="P16" i="9"/>
  <c r="M16" i="9"/>
  <c r="H16" i="9"/>
  <c r="J16" i="9" s="1"/>
  <c r="AI15" i="9"/>
  <c r="S15" i="9"/>
  <c r="P15" i="9"/>
  <c r="M15" i="9"/>
  <c r="H15" i="9"/>
  <c r="J15" i="9" s="1"/>
  <c r="AI14" i="9"/>
  <c r="S14" i="9"/>
  <c r="P14" i="9"/>
  <c r="M14" i="9"/>
  <c r="H14" i="9"/>
  <c r="J14" i="9" s="1"/>
  <c r="AI13" i="9"/>
  <c r="S13" i="9"/>
  <c r="P13" i="9"/>
  <c r="M13" i="9"/>
  <c r="H13" i="9"/>
  <c r="J13" i="9" s="1"/>
  <c r="AI12" i="9"/>
  <c r="S12" i="9"/>
  <c r="P12" i="9"/>
  <c r="M12" i="9"/>
  <c r="H12" i="9"/>
  <c r="J12" i="9" s="1"/>
  <c r="AI11" i="9"/>
  <c r="S11" i="9"/>
  <c r="P11" i="9"/>
  <c r="M11" i="9"/>
  <c r="H11" i="9"/>
  <c r="J11" i="9" s="1"/>
  <c r="AI10" i="9"/>
  <c r="S10" i="9"/>
  <c r="P10" i="9"/>
  <c r="M10" i="9"/>
  <c r="H10" i="9"/>
  <c r="J10" i="9" s="1"/>
  <c r="AI9" i="9"/>
  <c r="S9" i="9"/>
  <c r="P9" i="9"/>
  <c r="M9" i="9"/>
  <c r="H9" i="9"/>
  <c r="J9" i="9" s="1"/>
  <c r="AI8" i="9"/>
  <c r="S8" i="9"/>
  <c r="P8" i="9"/>
  <c r="M8" i="9"/>
  <c r="H8" i="9"/>
  <c r="J8" i="9" s="1"/>
  <c r="AI7" i="9"/>
  <c r="AH7" i="9"/>
  <c r="S7" i="9"/>
  <c r="P7" i="9"/>
  <c r="M7" i="9"/>
  <c r="H7" i="9"/>
  <c r="J7" i="9" s="1"/>
  <c r="AI6" i="9"/>
  <c r="AH6" i="9"/>
  <c r="AE6" i="9"/>
  <c r="AE34" i="9" s="1"/>
  <c r="S6" i="9"/>
  <c r="P6" i="9"/>
  <c r="M6" i="9"/>
  <c r="H6" i="9"/>
  <c r="M34" i="9" l="1"/>
  <c r="S34" i="9"/>
  <c r="H34" i="9"/>
  <c r="AH34" i="9"/>
  <c r="P34" i="9"/>
  <c r="AI34" i="9"/>
  <c r="J34" i="9"/>
  <c r="J6" i="9"/>
  <c r="AC37" i="8"/>
  <c r="C13" i="8"/>
  <c r="E13" i="8"/>
  <c r="C14" i="8"/>
  <c r="E14" i="8"/>
  <c r="C15" i="8"/>
  <c r="E15" i="8"/>
  <c r="C16" i="8"/>
  <c r="E16" i="8"/>
  <c r="C17" i="8"/>
  <c r="E17" i="8"/>
  <c r="AJ37" i="8"/>
  <c r="AG37" i="8"/>
  <c r="AE37" i="8"/>
  <c r="AA37" i="8"/>
  <c r="Y37" i="8"/>
  <c r="V37" i="8"/>
  <c r="T37" i="8"/>
  <c r="R37" i="8"/>
  <c r="P37" i="8"/>
  <c r="N37" i="8"/>
  <c r="L37" i="8"/>
  <c r="J37" i="8"/>
  <c r="H37" i="8"/>
  <c r="F37" i="8"/>
  <c r="D37" i="8"/>
  <c r="B37" i="8"/>
  <c r="AK36" i="8"/>
  <c r="AF36" i="8"/>
  <c r="AH36" i="8" s="1"/>
  <c r="AB36" i="8"/>
  <c r="AD36" i="8" s="1"/>
  <c r="W36" i="8"/>
  <c r="U36" i="8"/>
  <c r="S36" i="8"/>
  <c r="Q36" i="8"/>
  <c r="O36" i="8"/>
  <c r="M36" i="8"/>
  <c r="K36" i="8"/>
  <c r="I36" i="8"/>
  <c r="G36" i="8"/>
  <c r="E36" i="8"/>
  <c r="C36" i="8"/>
  <c r="AK35" i="8"/>
  <c r="AF35" i="8"/>
  <c r="AH35" i="8" s="1"/>
  <c r="AB35" i="8"/>
  <c r="AD35" i="8" s="1"/>
  <c r="W35" i="8"/>
  <c r="U35" i="8"/>
  <c r="S35" i="8"/>
  <c r="Q35" i="8"/>
  <c r="O35" i="8"/>
  <c r="M35" i="8"/>
  <c r="K35" i="8"/>
  <c r="I35" i="8"/>
  <c r="G35" i="8"/>
  <c r="E35" i="8"/>
  <c r="C35" i="8"/>
  <c r="AK34" i="8"/>
  <c r="AF34" i="8"/>
  <c r="AH34" i="8" s="1"/>
  <c r="AB34" i="8"/>
  <c r="AD34" i="8" s="1"/>
  <c r="W34" i="8"/>
  <c r="U34" i="8"/>
  <c r="S34" i="8"/>
  <c r="Q34" i="8"/>
  <c r="O34" i="8"/>
  <c r="M34" i="8"/>
  <c r="K34" i="8"/>
  <c r="I34" i="8"/>
  <c r="G34" i="8"/>
  <c r="E34" i="8"/>
  <c r="C34" i="8"/>
  <c r="AK33" i="8"/>
  <c r="AF33" i="8"/>
  <c r="AH33" i="8" s="1"/>
  <c r="AB33" i="8"/>
  <c r="AD33" i="8" s="1"/>
  <c r="W33" i="8"/>
  <c r="U33" i="8"/>
  <c r="S33" i="8"/>
  <c r="Q33" i="8"/>
  <c r="O33" i="8"/>
  <c r="M33" i="8"/>
  <c r="K33" i="8"/>
  <c r="I33" i="8"/>
  <c r="G33" i="8"/>
  <c r="E33" i="8"/>
  <c r="C33" i="8"/>
  <c r="AK32" i="8"/>
  <c r="AF32" i="8"/>
  <c r="AH32" i="8" s="1"/>
  <c r="AB32" i="8"/>
  <c r="AD32" i="8" s="1"/>
  <c r="W32" i="8"/>
  <c r="U32" i="8"/>
  <c r="S32" i="8"/>
  <c r="Q32" i="8"/>
  <c r="O32" i="8"/>
  <c r="M32" i="8"/>
  <c r="K32" i="8"/>
  <c r="I32" i="8"/>
  <c r="G32" i="8"/>
  <c r="E32" i="8"/>
  <c r="C32" i="8"/>
  <c r="AK31" i="8"/>
  <c r="AF31" i="8"/>
  <c r="AH31" i="8" s="1"/>
  <c r="AB31" i="8"/>
  <c r="AD31" i="8" s="1"/>
  <c r="W31" i="8"/>
  <c r="U31" i="8"/>
  <c r="S31" i="8"/>
  <c r="Q31" i="8"/>
  <c r="O31" i="8"/>
  <c r="M31" i="8"/>
  <c r="K31" i="8"/>
  <c r="I31" i="8"/>
  <c r="G31" i="8"/>
  <c r="E31" i="8"/>
  <c r="C31" i="8"/>
  <c r="AK30" i="8"/>
  <c r="AF30" i="8"/>
  <c r="AH30" i="8" s="1"/>
  <c r="AB30" i="8"/>
  <c r="AD30" i="8" s="1"/>
  <c r="W30" i="8"/>
  <c r="U30" i="8"/>
  <c r="S30" i="8"/>
  <c r="Q30" i="8"/>
  <c r="O30" i="8"/>
  <c r="M30" i="8"/>
  <c r="K30" i="8"/>
  <c r="I30" i="8"/>
  <c r="G30" i="8"/>
  <c r="E30" i="8"/>
  <c r="C30" i="8"/>
  <c r="AK29" i="8"/>
  <c r="AF29" i="8"/>
  <c r="AH29" i="8" s="1"/>
  <c r="AB29" i="8"/>
  <c r="AD29" i="8" s="1"/>
  <c r="W29" i="8"/>
  <c r="U29" i="8"/>
  <c r="S29" i="8"/>
  <c r="Q29" i="8"/>
  <c r="O29" i="8"/>
  <c r="M29" i="8"/>
  <c r="K29" i="8"/>
  <c r="I29" i="8"/>
  <c r="G29" i="8"/>
  <c r="E29" i="8"/>
  <c r="C29" i="8"/>
  <c r="AK28" i="8"/>
  <c r="AF28" i="8"/>
  <c r="AH28" i="8" s="1"/>
  <c r="AB28" i="8"/>
  <c r="AD28" i="8" s="1"/>
  <c r="W28" i="8"/>
  <c r="U28" i="8"/>
  <c r="S28" i="8"/>
  <c r="Q28" i="8"/>
  <c r="O28" i="8"/>
  <c r="M28" i="8"/>
  <c r="K28" i="8"/>
  <c r="I28" i="8"/>
  <c r="G28" i="8"/>
  <c r="E28" i="8"/>
  <c r="C28" i="8"/>
  <c r="AK27" i="8"/>
  <c r="AF27" i="8"/>
  <c r="AH27" i="8" s="1"/>
  <c r="AB27" i="8"/>
  <c r="AD27" i="8" s="1"/>
  <c r="W27" i="8"/>
  <c r="U27" i="8"/>
  <c r="S27" i="8"/>
  <c r="Q27" i="8"/>
  <c r="O27" i="8"/>
  <c r="M27" i="8"/>
  <c r="K27" i="8"/>
  <c r="I27" i="8"/>
  <c r="G27" i="8"/>
  <c r="E27" i="8"/>
  <c r="C27" i="8"/>
  <c r="AK26" i="8"/>
  <c r="AF26" i="8"/>
  <c r="AH26" i="8" s="1"/>
  <c r="AB26" i="8"/>
  <c r="AD26" i="8" s="1"/>
  <c r="W26" i="8"/>
  <c r="U26" i="8"/>
  <c r="S26" i="8"/>
  <c r="Q26" i="8"/>
  <c r="O26" i="8"/>
  <c r="M26" i="8"/>
  <c r="K26" i="8"/>
  <c r="I26" i="8"/>
  <c r="G26" i="8"/>
  <c r="E26" i="8"/>
  <c r="C26" i="8"/>
  <c r="AK25" i="8"/>
  <c r="AF25" i="8"/>
  <c r="AH25" i="8" s="1"/>
  <c r="AB25" i="8"/>
  <c r="AD25" i="8" s="1"/>
  <c r="W25" i="8"/>
  <c r="U25" i="8"/>
  <c r="S25" i="8"/>
  <c r="Q25" i="8"/>
  <c r="O25" i="8"/>
  <c r="M25" i="8"/>
  <c r="K25" i="8"/>
  <c r="I25" i="8"/>
  <c r="G25" i="8"/>
  <c r="E25" i="8"/>
  <c r="C25" i="8"/>
  <c r="AK24" i="8"/>
  <c r="AF24" i="8"/>
  <c r="AH24" i="8" s="1"/>
  <c r="AB24" i="8"/>
  <c r="AD24" i="8" s="1"/>
  <c r="W24" i="8"/>
  <c r="U24" i="8"/>
  <c r="S24" i="8"/>
  <c r="Q24" i="8"/>
  <c r="O24" i="8"/>
  <c r="M24" i="8"/>
  <c r="K24" i="8"/>
  <c r="I24" i="8"/>
  <c r="G24" i="8"/>
  <c r="E24" i="8"/>
  <c r="C24" i="8"/>
  <c r="AK23" i="8"/>
  <c r="AF23" i="8"/>
  <c r="AH23" i="8" s="1"/>
  <c r="AB23" i="8"/>
  <c r="AD23" i="8" s="1"/>
  <c r="W23" i="8"/>
  <c r="U23" i="8"/>
  <c r="S23" i="8"/>
  <c r="Q23" i="8"/>
  <c r="O23" i="8"/>
  <c r="M23" i="8"/>
  <c r="K23" i="8"/>
  <c r="I23" i="8"/>
  <c r="G23" i="8"/>
  <c r="E23" i="8"/>
  <c r="C23" i="8"/>
  <c r="AK22" i="8"/>
  <c r="AF22" i="8"/>
  <c r="AH22" i="8" s="1"/>
  <c r="AB22" i="8"/>
  <c r="AD22" i="8" s="1"/>
  <c r="W22" i="8"/>
  <c r="U22" i="8"/>
  <c r="S22" i="8"/>
  <c r="Q22" i="8"/>
  <c r="O22" i="8"/>
  <c r="M22" i="8"/>
  <c r="K22" i="8"/>
  <c r="I22" i="8"/>
  <c r="G22" i="8"/>
  <c r="E22" i="8"/>
  <c r="C22" i="8"/>
  <c r="AK21" i="8"/>
  <c r="AF21" i="8"/>
  <c r="AH21" i="8" s="1"/>
  <c r="AB21" i="8"/>
  <c r="AD21" i="8" s="1"/>
  <c r="W21" i="8"/>
  <c r="U21" i="8"/>
  <c r="S21" i="8"/>
  <c r="Q21" i="8"/>
  <c r="O21" i="8"/>
  <c r="M21" i="8"/>
  <c r="K21" i="8"/>
  <c r="I21" i="8"/>
  <c r="G21" i="8"/>
  <c r="E21" i="8"/>
  <c r="C21" i="8"/>
  <c r="AK20" i="8"/>
  <c r="AF20" i="8"/>
  <c r="AH20" i="8" s="1"/>
  <c r="AB20" i="8"/>
  <c r="AD20" i="8" s="1"/>
  <c r="W20" i="8"/>
  <c r="U20" i="8"/>
  <c r="S20" i="8"/>
  <c r="Q20" i="8"/>
  <c r="O20" i="8"/>
  <c r="M20" i="8"/>
  <c r="K20" i="8"/>
  <c r="I20" i="8"/>
  <c r="G20" i="8"/>
  <c r="E20" i="8"/>
  <c r="C20" i="8"/>
  <c r="AK19" i="8"/>
  <c r="AF19" i="8"/>
  <c r="AH19" i="8" s="1"/>
  <c r="AB19" i="8"/>
  <c r="AD19" i="8" s="1"/>
  <c r="W19" i="8"/>
  <c r="U19" i="8"/>
  <c r="S19" i="8"/>
  <c r="Q19" i="8"/>
  <c r="O19" i="8"/>
  <c r="M19" i="8"/>
  <c r="K19" i="8"/>
  <c r="I19" i="8"/>
  <c r="G19" i="8"/>
  <c r="E19" i="8"/>
  <c r="C19" i="8"/>
  <c r="AK18" i="8"/>
  <c r="AF18" i="8"/>
  <c r="AH18" i="8" s="1"/>
  <c r="AB18" i="8"/>
  <c r="AD18" i="8" s="1"/>
  <c r="W18" i="8"/>
  <c r="U18" i="8"/>
  <c r="S18" i="8"/>
  <c r="Q18" i="8"/>
  <c r="O18" i="8"/>
  <c r="M18" i="8"/>
  <c r="K18" i="8"/>
  <c r="I18" i="8"/>
  <c r="G18" i="8"/>
  <c r="E18" i="8"/>
  <c r="C18" i="8"/>
  <c r="AK17" i="8"/>
  <c r="AF17" i="8"/>
  <c r="AH17" i="8" s="1"/>
  <c r="AB17" i="8"/>
  <c r="AD17" i="8" s="1"/>
  <c r="W17" i="8"/>
  <c r="U17" i="8"/>
  <c r="S17" i="8"/>
  <c r="Q17" i="8"/>
  <c r="O17" i="8"/>
  <c r="M17" i="8"/>
  <c r="K17" i="8"/>
  <c r="I17" i="8"/>
  <c r="G17" i="8"/>
  <c r="AK16" i="8"/>
  <c r="AF16" i="8"/>
  <c r="AH16" i="8" s="1"/>
  <c r="AB16" i="8"/>
  <c r="AD16" i="8" s="1"/>
  <c r="W16" i="8"/>
  <c r="U16" i="8"/>
  <c r="S16" i="8"/>
  <c r="Q16" i="8"/>
  <c r="O16" i="8"/>
  <c r="M16" i="8"/>
  <c r="K16" i="8"/>
  <c r="I16" i="8"/>
  <c r="G16" i="8"/>
  <c r="AK15" i="8"/>
  <c r="AF15" i="8"/>
  <c r="AH15" i="8" s="1"/>
  <c r="AB15" i="8"/>
  <c r="AD15" i="8" s="1"/>
  <c r="W15" i="8"/>
  <c r="U15" i="8"/>
  <c r="S15" i="8"/>
  <c r="Q15" i="8"/>
  <c r="O15" i="8"/>
  <c r="M15" i="8"/>
  <c r="K15" i="8"/>
  <c r="I15" i="8"/>
  <c r="G15" i="8"/>
  <c r="AK14" i="8"/>
  <c r="AF14" i="8"/>
  <c r="AH14" i="8" s="1"/>
  <c r="AB14" i="8"/>
  <c r="AD14" i="8" s="1"/>
  <c r="W14" i="8"/>
  <c r="U14" i="8"/>
  <c r="S14" i="8"/>
  <c r="Q14" i="8"/>
  <c r="O14" i="8"/>
  <c r="M14" i="8"/>
  <c r="K14" i="8"/>
  <c r="I14" i="8"/>
  <c r="G14" i="8"/>
  <c r="AK13" i="8"/>
  <c r="AF13" i="8"/>
  <c r="AH13" i="8" s="1"/>
  <c r="AB13" i="8"/>
  <c r="AD13" i="8" s="1"/>
  <c r="W13" i="8"/>
  <c r="U13" i="8"/>
  <c r="S13" i="8"/>
  <c r="Q13" i="8"/>
  <c r="O13" i="8"/>
  <c r="M13" i="8"/>
  <c r="K13" i="8"/>
  <c r="I13" i="8"/>
  <c r="G13" i="8"/>
  <c r="AK12" i="8"/>
  <c r="AF12" i="8"/>
  <c r="AH12" i="8" s="1"/>
  <c r="AB12" i="8"/>
  <c r="AD12" i="8" s="1"/>
  <c r="W12" i="8"/>
  <c r="U12" i="8"/>
  <c r="S12" i="8"/>
  <c r="Q12" i="8"/>
  <c r="O12" i="8"/>
  <c r="M12" i="8"/>
  <c r="K12" i="8"/>
  <c r="I12" i="8"/>
  <c r="G12" i="8"/>
  <c r="E12" i="8"/>
  <c r="C12" i="8"/>
  <c r="AK11" i="8"/>
  <c r="AF11" i="8"/>
  <c r="AH11" i="8" s="1"/>
  <c r="AB11" i="8"/>
  <c r="AD11" i="8" s="1"/>
  <c r="W11" i="8"/>
  <c r="U11" i="8"/>
  <c r="S11" i="8"/>
  <c r="Q11" i="8"/>
  <c r="O11" i="8"/>
  <c r="M11" i="8"/>
  <c r="K11" i="8"/>
  <c r="I11" i="8"/>
  <c r="G11" i="8"/>
  <c r="E11" i="8"/>
  <c r="C11" i="8"/>
  <c r="AK10" i="8"/>
  <c r="AF10" i="8"/>
  <c r="AH10" i="8" s="1"/>
  <c r="AB10" i="8"/>
  <c r="AD10" i="8" s="1"/>
  <c r="W10" i="8"/>
  <c r="U10" i="8"/>
  <c r="S10" i="8"/>
  <c r="Q10" i="8"/>
  <c r="O10" i="8"/>
  <c r="M10" i="8"/>
  <c r="K10" i="8"/>
  <c r="I10" i="8"/>
  <c r="G10" i="8"/>
  <c r="E10" i="8"/>
  <c r="C10" i="8"/>
  <c r="AK9" i="8"/>
  <c r="AF9" i="8"/>
  <c r="AH9" i="8" s="1"/>
  <c r="AB9" i="8"/>
  <c r="AD9" i="8" s="1"/>
  <c r="W9" i="8"/>
  <c r="U9" i="8"/>
  <c r="S9" i="8"/>
  <c r="Q9" i="8"/>
  <c r="O9" i="8"/>
  <c r="M9" i="8"/>
  <c r="K9" i="8"/>
  <c r="I9" i="8"/>
  <c r="G9" i="8"/>
  <c r="E9" i="8"/>
  <c r="C9" i="8"/>
  <c r="AK8" i="8"/>
  <c r="AF8" i="8"/>
  <c r="AH8" i="8" s="1"/>
  <c r="AB8" i="8"/>
  <c r="AD8" i="8" s="1"/>
  <c r="W8" i="8"/>
  <c r="U8" i="8"/>
  <c r="S8" i="8"/>
  <c r="Q8" i="8"/>
  <c r="O8" i="8"/>
  <c r="M8" i="8"/>
  <c r="K8" i="8"/>
  <c r="I8" i="8"/>
  <c r="G8" i="8"/>
  <c r="E8" i="8"/>
  <c r="C8" i="8"/>
  <c r="AK7" i="8"/>
  <c r="AF7" i="8"/>
  <c r="AB7" i="8"/>
  <c r="W7" i="8"/>
  <c r="U7" i="8"/>
  <c r="S7" i="8"/>
  <c r="Q7" i="8"/>
  <c r="O7" i="8"/>
  <c r="M7" i="8"/>
  <c r="K7" i="8"/>
  <c r="I7" i="8"/>
  <c r="G7" i="8"/>
  <c r="E7" i="8"/>
  <c r="C7" i="8"/>
  <c r="AK6" i="8"/>
  <c r="AF6" i="8"/>
  <c r="AH6" i="8" s="1"/>
  <c r="AB6" i="8"/>
  <c r="AD6" i="8" s="1"/>
  <c r="W6" i="8"/>
  <c r="U6" i="8"/>
  <c r="S6" i="8"/>
  <c r="Q6" i="8"/>
  <c r="O6" i="8"/>
  <c r="M6" i="8"/>
  <c r="K6" i="8"/>
  <c r="I6" i="8"/>
  <c r="G6" i="8"/>
  <c r="E6" i="8"/>
  <c r="C6" i="8"/>
  <c r="AJ37" i="7"/>
  <c r="AI37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6" i="7"/>
  <c r="X28" i="8" l="1"/>
  <c r="Z28" i="8" s="1"/>
  <c r="K37" i="8"/>
  <c r="X36" i="8"/>
  <c r="Z36" i="8" s="1"/>
  <c r="X32" i="8"/>
  <c r="Z32" i="8" s="1"/>
  <c r="X24" i="8"/>
  <c r="Z24" i="8" s="1"/>
  <c r="X20" i="8"/>
  <c r="Z20" i="8" s="1"/>
  <c r="X12" i="8"/>
  <c r="Z12" i="8" s="1"/>
  <c r="X8" i="8"/>
  <c r="Z8" i="8" s="1"/>
  <c r="AK37" i="8"/>
  <c r="AF37" i="8"/>
  <c r="AH37" i="8" s="1"/>
  <c r="AB37" i="8"/>
  <c r="AD37" i="8" s="1"/>
  <c r="X34" i="8"/>
  <c r="Z34" i="8" s="1"/>
  <c r="X33" i="8"/>
  <c r="Z33" i="8" s="1"/>
  <c r="X30" i="8"/>
  <c r="Z30" i="8" s="1"/>
  <c r="X29" i="8"/>
  <c r="Z29" i="8" s="1"/>
  <c r="X25" i="8"/>
  <c r="Z25" i="8" s="1"/>
  <c r="X26" i="8"/>
  <c r="Z26" i="8" s="1"/>
  <c r="Q37" i="8"/>
  <c r="X9" i="8"/>
  <c r="Z9" i="8" s="1"/>
  <c r="X17" i="8"/>
  <c r="Z17" i="8" s="1"/>
  <c r="X18" i="8"/>
  <c r="Z18" i="8" s="1"/>
  <c r="X14" i="8"/>
  <c r="Z14" i="8" s="1"/>
  <c r="M37" i="8"/>
  <c r="X13" i="8"/>
  <c r="Z13" i="8" s="1"/>
  <c r="I37" i="8"/>
  <c r="G37" i="8"/>
  <c r="X10" i="8"/>
  <c r="Z10" i="8" s="1"/>
  <c r="C37" i="8"/>
  <c r="X7" i="8"/>
  <c r="Z7" i="8" s="1"/>
  <c r="X11" i="8"/>
  <c r="Z11" i="8" s="1"/>
  <c r="X15" i="8"/>
  <c r="Z15" i="8" s="1"/>
  <c r="X16" i="8"/>
  <c r="Z16" i="8" s="1"/>
  <c r="E37" i="8"/>
  <c r="X19" i="8"/>
  <c r="Z19" i="8" s="1"/>
  <c r="X27" i="8"/>
  <c r="Z27" i="8" s="1"/>
  <c r="X35" i="8"/>
  <c r="Z35" i="8" s="1"/>
  <c r="X31" i="8"/>
  <c r="Z31" i="8" s="1"/>
  <c r="X23" i="8"/>
  <c r="Z23" i="8" s="1"/>
  <c r="X22" i="8"/>
  <c r="Z22" i="8" s="1"/>
  <c r="W37" i="8"/>
  <c r="U37" i="8"/>
  <c r="S37" i="8"/>
  <c r="X21" i="8"/>
  <c r="Z21" i="8" s="1"/>
  <c r="O37" i="8"/>
  <c r="AD7" i="8"/>
  <c r="AH7" i="8"/>
  <c r="X6" i="8"/>
  <c r="AK37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6" i="7"/>
  <c r="P37" i="7"/>
  <c r="AG37" i="7"/>
  <c r="AE37" i="7"/>
  <c r="AF7" i="7"/>
  <c r="AH7" i="7" s="1"/>
  <c r="AF8" i="7"/>
  <c r="AH8" i="7" s="1"/>
  <c r="AF9" i="7"/>
  <c r="AH9" i="7" s="1"/>
  <c r="AF10" i="7"/>
  <c r="AH10" i="7" s="1"/>
  <c r="AF11" i="7"/>
  <c r="AH11" i="7" s="1"/>
  <c r="AF12" i="7"/>
  <c r="AH12" i="7" s="1"/>
  <c r="AF13" i="7"/>
  <c r="AH13" i="7" s="1"/>
  <c r="AF14" i="7"/>
  <c r="AH14" i="7" s="1"/>
  <c r="AF15" i="7"/>
  <c r="AH15" i="7" s="1"/>
  <c r="AF16" i="7"/>
  <c r="AH16" i="7" s="1"/>
  <c r="AF17" i="7"/>
  <c r="AH17" i="7" s="1"/>
  <c r="AF18" i="7"/>
  <c r="AH18" i="7" s="1"/>
  <c r="AF19" i="7"/>
  <c r="AH19" i="7" s="1"/>
  <c r="AF20" i="7"/>
  <c r="AH20" i="7" s="1"/>
  <c r="AF21" i="7"/>
  <c r="AH21" i="7" s="1"/>
  <c r="AF22" i="7"/>
  <c r="AH22" i="7" s="1"/>
  <c r="AF23" i="7"/>
  <c r="AH23" i="7" s="1"/>
  <c r="AF24" i="7"/>
  <c r="AH24" i="7" s="1"/>
  <c r="AF25" i="7"/>
  <c r="AH25" i="7" s="1"/>
  <c r="AF26" i="7"/>
  <c r="AH26" i="7" s="1"/>
  <c r="AF27" i="7"/>
  <c r="AH27" i="7" s="1"/>
  <c r="AF28" i="7"/>
  <c r="AH28" i="7" s="1"/>
  <c r="AF29" i="7"/>
  <c r="AH29" i="7" s="1"/>
  <c r="AF30" i="7"/>
  <c r="AH30" i="7" s="1"/>
  <c r="AF31" i="7"/>
  <c r="AH31" i="7" s="1"/>
  <c r="AF32" i="7"/>
  <c r="AH32" i="7" s="1"/>
  <c r="AF33" i="7"/>
  <c r="AH33" i="7" s="1"/>
  <c r="AF34" i="7"/>
  <c r="AH34" i="7" s="1"/>
  <c r="AF35" i="7"/>
  <c r="AH35" i="7" s="1"/>
  <c r="AF36" i="7"/>
  <c r="AH36" i="7" s="1"/>
  <c r="AF6" i="7"/>
  <c r="AH6" i="7" s="1"/>
  <c r="X37" i="8" l="1"/>
  <c r="Z37" i="8" s="1"/>
  <c r="Z6" i="8"/>
  <c r="Q37" i="7"/>
  <c r="AF37" i="7"/>
  <c r="AH37" i="7" s="1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6" i="7"/>
  <c r="N37" i="7"/>
  <c r="AC37" i="7"/>
  <c r="AA37" i="7"/>
  <c r="Y37" i="7"/>
  <c r="V37" i="7"/>
  <c r="T37" i="7"/>
  <c r="R37" i="7"/>
  <c r="L37" i="7"/>
  <c r="J37" i="7"/>
  <c r="H37" i="7"/>
  <c r="F37" i="7"/>
  <c r="D37" i="7"/>
  <c r="B37" i="7"/>
  <c r="AB36" i="7"/>
  <c r="AD36" i="7" s="1"/>
  <c r="W36" i="7"/>
  <c r="U36" i="7"/>
  <c r="S36" i="7"/>
  <c r="M36" i="7"/>
  <c r="K36" i="7"/>
  <c r="I36" i="7"/>
  <c r="G36" i="7"/>
  <c r="E36" i="7"/>
  <c r="C36" i="7"/>
  <c r="AB35" i="7"/>
  <c r="AD35" i="7" s="1"/>
  <c r="W35" i="7"/>
  <c r="U35" i="7"/>
  <c r="S35" i="7"/>
  <c r="M35" i="7"/>
  <c r="K35" i="7"/>
  <c r="I35" i="7"/>
  <c r="G35" i="7"/>
  <c r="E35" i="7"/>
  <c r="C35" i="7"/>
  <c r="AB34" i="7"/>
  <c r="AD34" i="7" s="1"/>
  <c r="W34" i="7"/>
  <c r="U34" i="7"/>
  <c r="S34" i="7"/>
  <c r="M34" i="7"/>
  <c r="K34" i="7"/>
  <c r="I34" i="7"/>
  <c r="G34" i="7"/>
  <c r="E34" i="7"/>
  <c r="C34" i="7"/>
  <c r="AB33" i="7"/>
  <c r="AD33" i="7" s="1"/>
  <c r="W33" i="7"/>
  <c r="U33" i="7"/>
  <c r="S33" i="7"/>
  <c r="M33" i="7"/>
  <c r="K33" i="7"/>
  <c r="I33" i="7"/>
  <c r="G33" i="7"/>
  <c r="E33" i="7"/>
  <c r="C33" i="7"/>
  <c r="AB32" i="7"/>
  <c r="AD32" i="7" s="1"/>
  <c r="W32" i="7"/>
  <c r="U32" i="7"/>
  <c r="S32" i="7"/>
  <c r="M32" i="7"/>
  <c r="K32" i="7"/>
  <c r="I32" i="7"/>
  <c r="G32" i="7"/>
  <c r="E32" i="7"/>
  <c r="C32" i="7"/>
  <c r="AB31" i="7"/>
  <c r="AD31" i="7" s="1"/>
  <c r="W31" i="7"/>
  <c r="U31" i="7"/>
  <c r="S31" i="7"/>
  <c r="M31" i="7"/>
  <c r="K31" i="7"/>
  <c r="I31" i="7"/>
  <c r="G31" i="7"/>
  <c r="E31" i="7"/>
  <c r="C31" i="7"/>
  <c r="AB30" i="7"/>
  <c r="AD30" i="7" s="1"/>
  <c r="W30" i="7"/>
  <c r="U30" i="7"/>
  <c r="S30" i="7"/>
  <c r="M30" i="7"/>
  <c r="K30" i="7"/>
  <c r="I30" i="7"/>
  <c r="G30" i="7"/>
  <c r="E30" i="7"/>
  <c r="C30" i="7"/>
  <c r="AB29" i="7"/>
  <c r="AD29" i="7" s="1"/>
  <c r="W29" i="7"/>
  <c r="U29" i="7"/>
  <c r="S29" i="7"/>
  <c r="M29" i="7"/>
  <c r="K29" i="7"/>
  <c r="I29" i="7"/>
  <c r="G29" i="7"/>
  <c r="E29" i="7"/>
  <c r="C29" i="7"/>
  <c r="AB28" i="7"/>
  <c r="AD28" i="7" s="1"/>
  <c r="W28" i="7"/>
  <c r="U28" i="7"/>
  <c r="S28" i="7"/>
  <c r="M28" i="7"/>
  <c r="K28" i="7"/>
  <c r="I28" i="7"/>
  <c r="G28" i="7"/>
  <c r="E28" i="7"/>
  <c r="C28" i="7"/>
  <c r="AB27" i="7"/>
  <c r="AD27" i="7" s="1"/>
  <c r="W27" i="7"/>
  <c r="U27" i="7"/>
  <c r="S27" i="7"/>
  <c r="M27" i="7"/>
  <c r="K27" i="7"/>
  <c r="I27" i="7"/>
  <c r="G27" i="7"/>
  <c r="E27" i="7"/>
  <c r="C27" i="7"/>
  <c r="AB26" i="7"/>
  <c r="AD26" i="7" s="1"/>
  <c r="W26" i="7"/>
  <c r="U26" i="7"/>
  <c r="S26" i="7"/>
  <c r="M26" i="7"/>
  <c r="K26" i="7"/>
  <c r="I26" i="7"/>
  <c r="G26" i="7"/>
  <c r="E26" i="7"/>
  <c r="C26" i="7"/>
  <c r="AB25" i="7"/>
  <c r="AD25" i="7" s="1"/>
  <c r="W25" i="7"/>
  <c r="U25" i="7"/>
  <c r="S25" i="7"/>
  <c r="M25" i="7"/>
  <c r="K25" i="7"/>
  <c r="I25" i="7"/>
  <c r="G25" i="7"/>
  <c r="E25" i="7"/>
  <c r="C25" i="7"/>
  <c r="AB24" i="7"/>
  <c r="AD24" i="7" s="1"/>
  <c r="W24" i="7"/>
  <c r="U24" i="7"/>
  <c r="S24" i="7"/>
  <c r="M24" i="7"/>
  <c r="K24" i="7"/>
  <c r="I24" i="7"/>
  <c r="G24" i="7"/>
  <c r="E24" i="7"/>
  <c r="C24" i="7"/>
  <c r="AB23" i="7"/>
  <c r="AD23" i="7" s="1"/>
  <c r="W23" i="7"/>
  <c r="U23" i="7"/>
  <c r="S23" i="7"/>
  <c r="M23" i="7"/>
  <c r="K23" i="7"/>
  <c r="I23" i="7"/>
  <c r="G23" i="7"/>
  <c r="E23" i="7"/>
  <c r="C23" i="7"/>
  <c r="AB22" i="7"/>
  <c r="AD22" i="7" s="1"/>
  <c r="W22" i="7"/>
  <c r="U22" i="7"/>
  <c r="S22" i="7"/>
  <c r="M22" i="7"/>
  <c r="K22" i="7"/>
  <c r="I22" i="7"/>
  <c r="G22" i="7"/>
  <c r="E22" i="7"/>
  <c r="C22" i="7"/>
  <c r="AB21" i="7"/>
  <c r="AD21" i="7" s="1"/>
  <c r="W21" i="7"/>
  <c r="U21" i="7"/>
  <c r="S21" i="7"/>
  <c r="M21" i="7"/>
  <c r="K21" i="7"/>
  <c r="I21" i="7"/>
  <c r="G21" i="7"/>
  <c r="E21" i="7"/>
  <c r="C21" i="7"/>
  <c r="AB20" i="7"/>
  <c r="AD20" i="7" s="1"/>
  <c r="W20" i="7"/>
  <c r="U20" i="7"/>
  <c r="S20" i="7"/>
  <c r="M20" i="7"/>
  <c r="K20" i="7"/>
  <c r="I20" i="7"/>
  <c r="G20" i="7"/>
  <c r="E20" i="7"/>
  <c r="C20" i="7"/>
  <c r="AB19" i="7"/>
  <c r="AD19" i="7" s="1"/>
  <c r="W19" i="7"/>
  <c r="U19" i="7"/>
  <c r="S19" i="7"/>
  <c r="M19" i="7"/>
  <c r="K19" i="7"/>
  <c r="I19" i="7"/>
  <c r="G19" i="7"/>
  <c r="E19" i="7"/>
  <c r="C19" i="7"/>
  <c r="AB18" i="7"/>
  <c r="AD18" i="7" s="1"/>
  <c r="W18" i="7"/>
  <c r="U18" i="7"/>
  <c r="S18" i="7"/>
  <c r="M18" i="7"/>
  <c r="K18" i="7"/>
  <c r="I18" i="7"/>
  <c r="G18" i="7"/>
  <c r="E18" i="7"/>
  <c r="C18" i="7"/>
  <c r="AB17" i="7"/>
  <c r="AD17" i="7" s="1"/>
  <c r="W17" i="7"/>
  <c r="U17" i="7"/>
  <c r="S17" i="7"/>
  <c r="M17" i="7"/>
  <c r="K17" i="7"/>
  <c r="I17" i="7"/>
  <c r="G17" i="7"/>
  <c r="E17" i="7"/>
  <c r="C17" i="7"/>
  <c r="AB16" i="7"/>
  <c r="AD16" i="7" s="1"/>
  <c r="W16" i="7"/>
  <c r="U16" i="7"/>
  <c r="S16" i="7"/>
  <c r="M16" i="7"/>
  <c r="K16" i="7"/>
  <c r="I16" i="7"/>
  <c r="G16" i="7"/>
  <c r="E16" i="7"/>
  <c r="C16" i="7"/>
  <c r="AB15" i="7"/>
  <c r="AD15" i="7" s="1"/>
  <c r="W15" i="7"/>
  <c r="U15" i="7"/>
  <c r="S15" i="7"/>
  <c r="M15" i="7"/>
  <c r="K15" i="7"/>
  <c r="I15" i="7"/>
  <c r="G15" i="7"/>
  <c r="E15" i="7"/>
  <c r="C15" i="7"/>
  <c r="AB14" i="7"/>
  <c r="AD14" i="7" s="1"/>
  <c r="W14" i="7"/>
  <c r="U14" i="7"/>
  <c r="S14" i="7"/>
  <c r="M14" i="7"/>
  <c r="K14" i="7"/>
  <c r="I14" i="7"/>
  <c r="G14" i="7"/>
  <c r="E14" i="7"/>
  <c r="C14" i="7"/>
  <c r="AB13" i="7"/>
  <c r="AD13" i="7" s="1"/>
  <c r="W13" i="7"/>
  <c r="U13" i="7"/>
  <c r="S13" i="7"/>
  <c r="M13" i="7"/>
  <c r="K13" i="7"/>
  <c r="I13" i="7"/>
  <c r="G13" i="7"/>
  <c r="E13" i="7"/>
  <c r="C13" i="7"/>
  <c r="AB12" i="7"/>
  <c r="AD12" i="7" s="1"/>
  <c r="W12" i="7"/>
  <c r="U12" i="7"/>
  <c r="S12" i="7"/>
  <c r="M12" i="7"/>
  <c r="K12" i="7"/>
  <c r="I12" i="7"/>
  <c r="G12" i="7"/>
  <c r="E12" i="7"/>
  <c r="C12" i="7"/>
  <c r="X12" i="7" s="1"/>
  <c r="AB11" i="7"/>
  <c r="AD11" i="7" s="1"/>
  <c r="W11" i="7"/>
  <c r="U11" i="7"/>
  <c r="S11" i="7"/>
  <c r="M11" i="7"/>
  <c r="K11" i="7"/>
  <c r="I11" i="7"/>
  <c r="G11" i="7"/>
  <c r="E11" i="7"/>
  <c r="C11" i="7"/>
  <c r="AB10" i="7"/>
  <c r="AD10" i="7" s="1"/>
  <c r="W10" i="7"/>
  <c r="U10" i="7"/>
  <c r="S10" i="7"/>
  <c r="M10" i="7"/>
  <c r="K10" i="7"/>
  <c r="I10" i="7"/>
  <c r="G10" i="7"/>
  <c r="E10" i="7"/>
  <c r="C10" i="7"/>
  <c r="AB9" i="7"/>
  <c r="AD9" i="7" s="1"/>
  <c r="W9" i="7"/>
  <c r="U9" i="7"/>
  <c r="S9" i="7"/>
  <c r="M9" i="7"/>
  <c r="K9" i="7"/>
  <c r="I9" i="7"/>
  <c r="G9" i="7"/>
  <c r="E9" i="7"/>
  <c r="C9" i="7"/>
  <c r="AB8" i="7"/>
  <c r="W8" i="7"/>
  <c r="U8" i="7"/>
  <c r="S8" i="7"/>
  <c r="M8" i="7"/>
  <c r="K8" i="7"/>
  <c r="I8" i="7"/>
  <c r="G8" i="7"/>
  <c r="E8" i="7"/>
  <c r="C8" i="7"/>
  <c r="AB7" i="7"/>
  <c r="AD7" i="7" s="1"/>
  <c r="W7" i="7"/>
  <c r="U7" i="7"/>
  <c r="S7" i="7"/>
  <c r="M7" i="7"/>
  <c r="K7" i="7"/>
  <c r="I7" i="7"/>
  <c r="G7" i="7"/>
  <c r="E7" i="7"/>
  <c r="C7" i="7"/>
  <c r="AB6" i="7"/>
  <c r="AD6" i="7" s="1"/>
  <c r="W6" i="7"/>
  <c r="U6" i="7"/>
  <c r="S6" i="7"/>
  <c r="M6" i="7"/>
  <c r="K6" i="7"/>
  <c r="I6" i="7"/>
  <c r="G6" i="7"/>
  <c r="E6" i="7"/>
  <c r="C6" i="7"/>
  <c r="AC37" i="6"/>
  <c r="AA37" i="6"/>
  <c r="Y37" i="6"/>
  <c r="W37" i="6"/>
  <c r="U37" i="6"/>
  <c r="R37" i="6"/>
  <c r="P37" i="6"/>
  <c r="N37" i="6"/>
  <c r="L37" i="6"/>
  <c r="J37" i="6"/>
  <c r="H37" i="6"/>
  <c r="F37" i="6"/>
  <c r="D37" i="6"/>
  <c r="B37" i="6"/>
  <c r="AB36" i="6"/>
  <c r="AD36" i="6" s="1"/>
  <c r="X36" i="6"/>
  <c r="Z36" i="6" s="1"/>
  <c r="S36" i="6"/>
  <c r="Q36" i="6"/>
  <c r="O36" i="6"/>
  <c r="M36" i="6"/>
  <c r="K36" i="6"/>
  <c r="I36" i="6"/>
  <c r="G36" i="6"/>
  <c r="E36" i="6"/>
  <c r="C36" i="6"/>
  <c r="AB35" i="6"/>
  <c r="AD35" i="6" s="1"/>
  <c r="X35" i="6"/>
  <c r="Z35" i="6" s="1"/>
  <c r="S35" i="6"/>
  <c r="Q35" i="6"/>
  <c r="O35" i="6"/>
  <c r="M35" i="6"/>
  <c r="K35" i="6"/>
  <c r="I35" i="6"/>
  <c r="G35" i="6"/>
  <c r="E35" i="6"/>
  <c r="C35" i="6"/>
  <c r="AB34" i="6"/>
  <c r="AD34" i="6" s="1"/>
  <c r="X34" i="6"/>
  <c r="Z34" i="6" s="1"/>
  <c r="S34" i="6"/>
  <c r="Q34" i="6"/>
  <c r="O34" i="6"/>
  <c r="M34" i="6"/>
  <c r="K34" i="6"/>
  <c r="I34" i="6"/>
  <c r="G34" i="6"/>
  <c r="E34" i="6"/>
  <c r="C34" i="6"/>
  <c r="AB33" i="6"/>
  <c r="AD33" i="6" s="1"/>
  <c r="X33" i="6"/>
  <c r="Z33" i="6" s="1"/>
  <c r="S33" i="6"/>
  <c r="Q33" i="6"/>
  <c r="O33" i="6"/>
  <c r="M33" i="6"/>
  <c r="K33" i="6"/>
  <c r="I33" i="6"/>
  <c r="G33" i="6"/>
  <c r="E33" i="6"/>
  <c r="C33" i="6"/>
  <c r="AB32" i="6"/>
  <c r="AD32" i="6" s="1"/>
  <c r="X32" i="6"/>
  <c r="Z32" i="6" s="1"/>
  <c r="S32" i="6"/>
  <c r="Q32" i="6"/>
  <c r="O32" i="6"/>
  <c r="M32" i="6"/>
  <c r="K32" i="6"/>
  <c r="I32" i="6"/>
  <c r="G32" i="6"/>
  <c r="E32" i="6"/>
  <c r="C32" i="6"/>
  <c r="AB31" i="6"/>
  <c r="AD31" i="6" s="1"/>
  <c r="X31" i="6"/>
  <c r="Z31" i="6" s="1"/>
  <c r="S31" i="6"/>
  <c r="Q31" i="6"/>
  <c r="O31" i="6"/>
  <c r="M31" i="6"/>
  <c r="K31" i="6"/>
  <c r="I31" i="6"/>
  <c r="G31" i="6"/>
  <c r="E31" i="6"/>
  <c r="C31" i="6"/>
  <c r="AB30" i="6"/>
  <c r="AD30" i="6" s="1"/>
  <c r="X30" i="6"/>
  <c r="Z30" i="6" s="1"/>
  <c r="S30" i="6"/>
  <c r="Q30" i="6"/>
  <c r="O30" i="6"/>
  <c r="M30" i="6"/>
  <c r="K30" i="6"/>
  <c r="I30" i="6"/>
  <c r="G30" i="6"/>
  <c r="E30" i="6"/>
  <c r="C30" i="6"/>
  <c r="AB29" i="6"/>
  <c r="AD29" i="6" s="1"/>
  <c r="X29" i="6"/>
  <c r="Z29" i="6" s="1"/>
  <c r="S29" i="6"/>
  <c r="Q29" i="6"/>
  <c r="O29" i="6"/>
  <c r="M29" i="6"/>
  <c r="K29" i="6"/>
  <c r="I29" i="6"/>
  <c r="G29" i="6"/>
  <c r="E29" i="6"/>
  <c r="C29" i="6"/>
  <c r="AB28" i="6"/>
  <c r="AD28" i="6" s="1"/>
  <c r="X28" i="6"/>
  <c r="Z28" i="6" s="1"/>
  <c r="S28" i="6"/>
  <c r="Q28" i="6"/>
  <c r="O28" i="6"/>
  <c r="M28" i="6"/>
  <c r="K28" i="6"/>
  <c r="I28" i="6"/>
  <c r="G28" i="6"/>
  <c r="E28" i="6"/>
  <c r="C28" i="6"/>
  <c r="AB27" i="6"/>
  <c r="AD27" i="6" s="1"/>
  <c r="X27" i="6"/>
  <c r="Z27" i="6" s="1"/>
  <c r="S27" i="6"/>
  <c r="Q27" i="6"/>
  <c r="O27" i="6"/>
  <c r="M27" i="6"/>
  <c r="K27" i="6"/>
  <c r="I27" i="6"/>
  <c r="G27" i="6"/>
  <c r="E27" i="6"/>
  <c r="C27" i="6"/>
  <c r="AB26" i="6"/>
  <c r="AD26" i="6" s="1"/>
  <c r="X26" i="6"/>
  <c r="Z26" i="6" s="1"/>
  <c r="S26" i="6"/>
  <c r="Q26" i="6"/>
  <c r="O26" i="6"/>
  <c r="M26" i="6"/>
  <c r="K26" i="6"/>
  <c r="I26" i="6"/>
  <c r="G26" i="6"/>
  <c r="E26" i="6"/>
  <c r="C26" i="6"/>
  <c r="AB25" i="6"/>
  <c r="AD25" i="6" s="1"/>
  <c r="X25" i="6"/>
  <c r="Z25" i="6" s="1"/>
  <c r="S25" i="6"/>
  <c r="Q25" i="6"/>
  <c r="O25" i="6"/>
  <c r="M25" i="6"/>
  <c r="K25" i="6"/>
  <c r="I25" i="6"/>
  <c r="G25" i="6"/>
  <c r="E25" i="6"/>
  <c r="C25" i="6"/>
  <c r="AB24" i="6"/>
  <c r="AD24" i="6" s="1"/>
  <c r="X24" i="6"/>
  <c r="Z24" i="6" s="1"/>
  <c r="S24" i="6"/>
  <c r="Q24" i="6"/>
  <c r="O24" i="6"/>
  <c r="M24" i="6"/>
  <c r="K24" i="6"/>
  <c r="I24" i="6"/>
  <c r="G24" i="6"/>
  <c r="E24" i="6"/>
  <c r="C24" i="6"/>
  <c r="AB23" i="6"/>
  <c r="AD23" i="6" s="1"/>
  <c r="X23" i="6"/>
  <c r="Z23" i="6" s="1"/>
  <c r="S23" i="6"/>
  <c r="Q23" i="6"/>
  <c r="O23" i="6"/>
  <c r="M23" i="6"/>
  <c r="K23" i="6"/>
  <c r="I23" i="6"/>
  <c r="G23" i="6"/>
  <c r="E23" i="6"/>
  <c r="C23" i="6"/>
  <c r="AB22" i="6"/>
  <c r="AD22" i="6" s="1"/>
  <c r="X22" i="6"/>
  <c r="Z22" i="6" s="1"/>
  <c r="S22" i="6"/>
  <c r="Q22" i="6"/>
  <c r="O22" i="6"/>
  <c r="M22" i="6"/>
  <c r="K22" i="6"/>
  <c r="I22" i="6"/>
  <c r="G22" i="6"/>
  <c r="E22" i="6"/>
  <c r="C22" i="6"/>
  <c r="AB21" i="6"/>
  <c r="AD21" i="6" s="1"/>
  <c r="X21" i="6"/>
  <c r="Z21" i="6" s="1"/>
  <c r="S21" i="6"/>
  <c r="Q21" i="6"/>
  <c r="O21" i="6"/>
  <c r="M21" i="6"/>
  <c r="K21" i="6"/>
  <c r="I21" i="6"/>
  <c r="G21" i="6"/>
  <c r="E21" i="6"/>
  <c r="C21" i="6"/>
  <c r="AB20" i="6"/>
  <c r="AD20" i="6" s="1"/>
  <c r="X20" i="6"/>
  <c r="Z20" i="6" s="1"/>
  <c r="S20" i="6"/>
  <c r="Q20" i="6"/>
  <c r="O20" i="6"/>
  <c r="M20" i="6"/>
  <c r="K20" i="6"/>
  <c r="I20" i="6"/>
  <c r="G20" i="6"/>
  <c r="E20" i="6"/>
  <c r="C20" i="6"/>
  <c r="AB19" i="6"/>
  <c r="AD19" i="6" s="1"/>
  <c r="X19" i="6"/>
  <c r="Z19" i="6" s="1"/>
  <c r="S19" i="6"/>
  <c r="Q19" i="6"/>
  <c r="O19" i="6"/>
  <c r="M19" i="6"/>
  <c r="K19" i="6"/>
  <c r="I19" i="6"/>
  <c r="G19" i="6"/>
  <c r="E19" i="6"/>
  <c r="C19" i="6"/>
  <c r="AB18" i="6"/>
  <c r="AD18" i="6" s="1"/>
  <c r="X18" i="6"/>
  <c r="Z18" i="6" s="1"/>
  <c r="S18" i="6"/>
  <c r="Q18" i="6"/>
  <c r="O18" i="6"/>
  <c r="M18" i="6"/>
  <c r="K18" i="6"/>
  <c r="I18" i="6"/>
  <c r="G18" i="6"/>
  <c r="E18" i="6"/>
  <c r="C18" i="6"/>
  <c r="AB17" i="6"/>
  <c r="AD17" i="6" s="1"/>
  <c r="X17" i="6"/>
  <c r="Z17" i="6" s="1"/>
  <c r="S17" i="6"/>
  <c r="Q17" i="6"/>
  <c r="O17" i="6"/>
  <c r="M17" i="6"/>
  <c r="K17" i="6"/>
  <c r="I17" i="6"/>
  <c r="G17" i="6"/>
  <c r="E17" i="6"/>
  <c r="C17" i="6"/>
  <c r="AB16" i="6"/>
  <c r="AD16" i="6" s="1"/>
  <c r="X16" i="6"/>
  <c r="Z16" i="6" s="1"/>
  <c r="S16" i="6"/>
  <c r="Q16" i="6"/>
  <c r="O16" i="6"/>
  <c r="M16" i="6"/>
  <c r="K16" i="6"/>
  <c r="I16" i="6"/>
  <c r="G16" i="6"/>
  <c r="E16" i="6"/>
  <c r="C16" i="6"/>
  <c r="AB15" i="6"/>
  <c r="AD15" i="6" s="1"/>
  <c r="X15" i="6"/>
  <c r="Z15" i="6" s="1"/>
  <c r="S15" i="6"/>
  <c r="Q15" i="6"/>
  <c r="O15" i="6"/>
  <c r="M15" i="6"/>
  <c r="K15" i="6"/>
  <c r="I15" i="6"/>
  <c r="G15" i="6"/>
  <c r="E15" i="6"/>
  <c r="C15" i="6"/>
  <c r="AB14" i="6"/>
  <c r="AD14" i="6" s="1"/>
  <c r="X14" i="6"/>
  <c r="Z14" i="6" s="1"/>
  <c r="S14" i="6"/>
  <c r="Q14" i="6"/>
  <c r="O14" i="6"/>
  <c r="M14" i="6"/>
  <c r="K14" i="6"/>
  <c r="I14" i="6"/>
  <c r="G14" i="6"/>
  <c r="E14" i="6"/>
  <c r="C14" i="6"/>
  <c r="AB13" i="6"/>
  <c r="AD13" i="6" s="1"/>
  <c r="X13" i="6"/>
  <c r="Z13" i="6" s="1"/>
  <c r="S13" i="6"/>
  <c r="Q13" i="6"/>
  <c r="O13" i="6"/>
  <c r="M13" i="6"/>
  <c r="K13" i="6"/>
  <c r="I13" i="6"/>
  <c r="G13" i="6"/>
  <c r="E13" i="6"/>
  <c r="C13" i="6"/>
  <c r="AB12" i="6"/>
  <c r="AD12" i="6" s="1"/>
  <c r="X12" i="6"/>
  <c r="Z12" i="6" s="1"/>
  <c r="S12" i="6"/>
  <c r="Q12" i="6"/>
  <c r="O12" i="6"/>
  <c r="M12" i="6"/>
  <c r="K12" i="6"/>
  <c r="I12" i="6"/>
  <c r="G12" i="6"/>
  <c r="E12" i="6"/>
  <c r="C12" i="6"/>
  <c r="AB11" i="6"/>
  <c r="AD11" i="6" s="1"/>
  <c r="X11" i="6"/>
  <c r="Z11" i="6" s="1"/>
  <c r="S11" i="6"/>
  <c r="Q11" i="6"/>
  <c r="O11" i="6"/>
  <c r="M11" i="6"/>
  <c r="K11" i="6"/>
  <c r="I11" i="6"/>
  <c r="G11" i="6"/>
  <c r="E11" i="6"/>
  <c r="C11" i="6"/>
  <c r="AB10" i="6"/>
  <c r="AD10" i="6" s="1"/>
  <c r="X10" i="6"/>
  <c r="Z10" i="6" s="1"/>
  <c r="S10" i="6"/>
  <c r="Q10" i="6"/>
  <c r="O10" i="6"/>
  <c r="M10" i="6"/>
  <c r="K10" i="6"/>
  <c r="I10" i="6"/>
  <c r="G10" i="6"/>
  <c r="E10" i="6"/>
  <c r="C10" i="6"/>
  <c r="AB9" i="6"/>
  <c r="AD9" i="6" s="1"/>
  <c r="X9" i="6"/>
  <c r="Z9" i="6" s="1"/>
  <c r="S9" i="6"/>
  <c r="Q9" i="6"/>
  <c r="O9" i="6"/>
  <c r="M9" i="6"/>
  <c r="K9" i="6"/>
  <c r="I9" i="6"/>
  <c r="G9" i="6"/>
  <c r="E9" i="6"/>
  <c r="C9" i="6"/>
  <c r="AB8" i="6"/>
  <c r="AD8" i="6" s="1"/>
  <c r="X8" i="6"/>
  <c r="S8" i="6"/>
  <c r="Q8" i="6"/>
  <c r="O8" i="6"/>
  <c r="M8" i="6"/>
  <c r="K8" i="6"/>
  <c r="I8" i="6"/>
  <c r="G8" i="6"/>
  <c r="E8" i="6"/>
  <c r="C8" i="6"/>
  <c r="AB7" i="6"/>
  <c r="AD7" i="6" s="1"/>
  <c r="X7" i="6"/>
  <c r="Z7" i="6" s="1"/>
  <c r="S7" i="6"/>
  <c r="Q7" i="6"/>
  <c r="O7" i="6"/>
  <c r="M7" i="6"/>
  <c r="K7" i="6"/>
  <c r="I7" i="6"/>
  <c r="G7" i="6"/>
  <c r="E7" i="6"/>
  <c r="C7" i="6"/>
  <c r="AB6" i="6"/>
  <c r="AD6" i="6" s="1"/>
  <c r="X6" i="6"/>
  <c r="Z6" i="6" s="1"/>
  <c r="S6" i="6"/>
  <c r="Q6" i="6"/>
  <c r="O6" i="6"/>
  <c r="M6" i="6"/>
  <c r="K6" i="6"/>
  <c r="I6" i="6"/>
  <c r="G6" i="6"/>
  <c r="E6" i="6"/>
  <c r="C6" i="6"/>
  <c r="E36" i="5"/>
  <c r="X7" i="7" l="1"/>
  <c r="X13" i="7"/>
  <c r="X25" i="7"/>
  <c r="X10" i="7"/>
  <c r="Z10" i="7" s="1"/>
  <c r="X9" i="7"/>
  <c r="X15" i="7"/>
  <c r="X8" i="7"/>
  <c r="Z8" i="7" s="1"/>
  <c r="X14" i="7"/>
  <c r="X26" i="7"/>
  <c r="Z26" i="7" s="1"/>
  <c r="X32" i="7"/>
  <c r="Z32" i="7" s="1"/>
  <c r="X6" i="7"/>
  <c r="X11" i="7"/>
  <c r="Z11" i="7" s="1"/>
  <c r="X36" i="7"/>
  <c r="Z36" i="7" s="1"/>
  <c r="X35" i="7"/>
  <c r="Z35" i="7" s="1"/>
  <c r="X34" i="7"/>
  <c r="Z34" i="7" s="1"/>
  <c r="X33" i="7"/>
  <c r="Z33" i="7" s="1"/>
  <c r="X31" i="7"/>
  <c r="X30" i="7"/>
  <c r="Z30" i="7" s="1"/>
  <c r="X29" i="7"/>
  <c r="Z29" i="7" s="1"/>
  <c r="X28" i="7"/>
  <c r="Z28" i="7" s="1"/>
  <c r="X27" i="7"/>
  <c r="Z27" i="7" s="1"/>
  <c r="X24" i="7"/>
  <c r="Z24" i="7" s="1"/>
  <c r="X23" i="7"/>
  <c r="Z23" i="7" s="1"/>
  <c r="X22" i="7"/>
  <c r="Z22" i="7" s="1"/>
  <c r="X20" i="7"/>
  <c r="Z20" i="7" s="1"/>
  <c r="X19" i="7"/>
  <c r="Z19" i="7" s="1"/>
  <c r="X21" i="7"/>
  <c r="Z21" i="7" s="1"/>
  <c r="X18" i="7"/>
  <c r="Z18" i="7" s="1"/>
  <c r="X16" i="7"/>
  <c r="Z16" i="7" s="1"/>
  <c r="X17" i="7"/>
  <c r="Z17" i="7" s="1"/>
  <c r="Z13" i="7"/>
  <c r="Z15" i="7"/>
  <c r="Z12" i="7"/>
  <c r="Z9" i="7"/>
  <c r="Z14" i="7"/>
  <c r="Z7" i="7"/>
  <c r="Z25" i="7"/>
  <c r="Z31" i="7"/>
  <c r="M37" i="7"/>
  <c r="S37" i="7"/>
  <c r="AB37" i="7"/>
  <c r="U37" i="7"/>
  <c r="W37" i="7"/>
  <c r="C37" i="7"/>
  <c r="E37" i="7"/>
  <c r="I37" i="7"/>
  <c r="O37" i="7"/>
  <c r="G37" i="7"/>
  <c r="K37" i="7"/>
  <c r="AD8" i="7"/>
  <c r="K37" i="6"/>
  <c r="I37" i="6"/>
  <c r="X37" i="6"/>
  <c r="J43" i="6" s="1"/>
  <c r="S37" i="6"/>
  <c r="T22" i="6"/>
  <c r="V22" i="6" s="1"/>
  <c r="Q37" i="6"/>
  <c r="T21" i="6"/>
  <c r="V21" i="6" s="1"/>
  <c r="O37" i="6"/>
  <c r="T19" i="6"/>
  <c r="V19" i="6" s="1"/>
  <c r="M37" i="6"/>
  <c r="T18" i="6"/>
  <c r="V18" i="6" s="1"/>
  <c r="G37" i="6"/>
  <c r="T23" i="6"/>
  <c r="V23" i="6" s="1"/>
  <c r="T25" i="6"/>
  <c r="V25" i="6" s="1"/>
  <c r="E37" i="6"/>
  <c r="T16" i="6"/>
  <c r="V16" i="6" s="1"/>
  <c r="T12" i="6"/>
  <c r="V12" i="6" s="1"/>
  <c r="T8" i="6"/>
  <c r="V8" i="6" s="1"/>
  <c r="T36" i="6"/>
  <c r="V36" i="6" s="1"/>
  <c r="T14" i="6"/>
  <c r="V14" i="6" s="1"/>
  <c r="T15" i="6"/>
  <c r="V15" i="6" s="1"/>
  <c r="T17" i="6"/>
  <c r="V17" i="6" s="1"/>
  <c r="T10" i="6"/>
  <c r="V10" i="6" s="1"/>
  <c r="T11" i="6"/>
  <c r="V11" i="6" s="1"/>
  <c r="T13" i="6"/>
  <c r="V13" i="6" s="1"/>
  <c r="T7" i="6"/>
  <c r="V7" i="6" s="1"/>
  <c r="T9" i="6"/>
  <c r="V9" i="6" s="1"/>
  <c r="T35" i="6"/>
  <c r="V35" i="6" s="1"/>
  <c r="T28" i="6"/>
  <c r="V28" i="6" s="1"/>
  <c r="T34" i="6"/>
  <c r="V34" i="6" s="1"/>
  <c r="T32" i="6"/>
  <c r="V32" i="6" s="1"/>
  <c r="T31" i="6"/>
  <c r="V31" i="6" s="1"/>
  <c r="T33" i="6"/>
  <c r="V33" i="6" s="1"/>
  <c r="T24" i="6"/>
  <c r="V24" i="6" s="1"/>
  <c r="T30" i="6"/>
  <c r="V30" i="6" s="1"/>
  <c r="C37" i="6"/>
  <c r="T27" i="6"/>
  <c r="V27" i="6" s="1"/>
  <c r="T29" i="6"/>
  <c r="V29" i="6" s="1"/>
  <c r="T20" i="6"/>
  <c r="V20" i="6" s="1"/>
  <c r="T26" i="6"/>
  <c r="V26" i="6" s="1"/>
  <c r="Z8" i="6"/>
  <c r="AB37" i="6"/>
  <c r="K44" i="6" s="1"/>
  <c r="T6" i="6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6" i="5"/>
  <c r="AD37" i="7" l="1"/>
  <c r="X37" i="7"/>
  <c r="Z37" i="7" s="1"/>
  <c r="Z6" i="7"/>
  <c r="K42" i="6"/>
  <c r="Z37" i="6"/>
  <c r="S43" i="6"/>
  <c r="T37" i="6"/>
  <c r="V37" i="6" s="1"/>
  <c r="V6" i="6"/>
  <c r="AD37" i="6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6" i="5"/>
  <c r="N37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6" i="5"/>
  <c r="J37" i="5"/>
  <c r="L37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6" i="5"/>
  <c r="AD35" i="5"/>
  <c r="AD36" i="5"/>
  <c r="X35" i="5"/>
  <c r="Z35" i="5" s="1"/>
  <c r="X36" i="5"/>
  <c r="Z36" i="5" s="1"/>
  <c r="I35" i="5"/>
  <c r="I36" i="5"/>
  <c r="G35" i="5"/>
  <c r="G36" i="5"/>
  <c r="E35" i="5"/>
  <c r="C35" i="5"/>
  <c r="C36" i="5"/>
  <c r="M49" i="6" l="1"/>
  <c r="M37" i="5"/>
  <c r="K37" i="5"/>
  <c r="O37" i="5"/>
  <c r="T35" i="5"/>
  <c r="V35" i="5" s="1"/>
  <c r="T36" i="5"/>
  <c r="V36" i="5" s="1"/>
  <c r="AC37" i="5" l="1"/>
  <c r="AA37" i="5"/>
  <c r="Y37" i="5"/>
  <c r="W37" i="5"/>
  <c r="U37" i="5"/>
  <c r="R37" i="5"/>
  <c r="P37" i="5"/>
  <c r="H37" i="5"/>
  <c r="F37" i="5"/>
  <c r="D37" i="5"/>
  <c r="B37" i="5"/>
  <c r="AD34" i="5"/>
  <c r="X34" i="5"/>
  <c r="Z34" i="5" s="1"/>
  <c r="I34" i="5"/>
  <c r="G34" i="5"/>
  <c r="E34" i="5"/>
  <c r="C34" i="5"/>
  <c r="AD33" i="5"/>
  <c r="X33" i="5"/>
  <c r="Z33" i="5" s="1"/>
  <c r="I33" i="5"/>
  <c r="G33" i="5"/>
  <c r="E33" i="5"/>
  <c r="C33" i="5"/>
  <c r="AD32" i="5"/>
  <c r="X32" i="5"/>
  <c r="Z32" i="5" s="1"/>
  <c r="I32" i="5"/>
  <c r="G32" i="5"/>
  <c r="E32" i="5"/>
  <c r="C32" i="5"/>
  <c r="T32" i="5" s="1"/>
  <c r="AD31" i="5"/>
  <c r="X31" i="5"/>
  <c r="Z31" i="5" s="1"/>
  <c r="I31" i="5"/>
  <c r="G31" i="5"/>
  <c r="E31" i="5"/>
  <c r="C31" i="5"/>
  <c r="AD30" i="5"/>
  <c r="X30" i="5"/>
  <c r="Z30" i="5" s="1"/>
  <c r="I30" i="5"/>
  <c r="G30" i="5"/>
  <c r="E30" i="5"/>
  <c r="C30" i="5"/>
  <c r="AD29" i="5"/>
  <c r="X29" i="5"/>
  <c r="Z29" i="5" s="1"/>
  <c r="I29" i="5"/>
  <c r="G29" i="5"/>
  <c r="E29" i="5"/>
  <c r="C29" i="5"/>
  <c r="AD28" i="5"/>
  <c r="X28" i="5"/>
  <c r="Z28" i="5" s="1"/>
  <c r="I28" i="5"/>
  <c r="G28" i="5"/>
  <c r="E28" i="5"/>
  <c r="C28" i="5"/>
  <c r="AD27" i="5"/>
  <c r="X27" i="5"/>
  <c r="Z27" i="5" s="1"/>
  <c r="I27" i="5"/>
  <c r="G27" i="5"/>
  <c r="E27" i="5"/>
  <c r="C27" i="5"/>
  <c r="AD26" i="5"/>
  <c r="X26" i="5"/>
  <c r="Z26" i="5" s="1"/>
  <c r="I26" i="5"/>
  <c r="G26" i="5"/>
  <c r="E26" i="5"/>
  <c r="C26" i="5"/>
  <c r="AD25" i="5"/>
  <c r="X25" i="5"/>
  <c r="Z25" i="5" s="1"/>
  <c r="I25" i="5"/>
  <c r="G25" i="5"/>
  <c r="E25" i="5"/>
  <c r="C25" i="5"/>
  <c r="AD24" i="5"/>
  <c r="X24" i="5"/>
  <c r="Z24" i="5" s="1"/>
  <c r="I24" i="5"/>
  <c r="G24" i="5"/>
  <c r="E24" i="5"/>
  <c r="C24" i="5"/>
  <c r="AD23" i="5"/>
  <c r="X23" i="5"/>
  <c r="Z23" i="5" s="1"/>
  <c r="I23" i="5"/>
  <c r="T23" i="5" s="1"/>
  <c r="G23" i="5"/>
  <c r="E23" i="5"/>
  <c r="C23" i="5"/>
  <c r="AD22" i="5"/>
  <c r="X22" i="5"/>
  <c r="Z22" i="5" s="1"/>
  <c r="I22" i="5"/>
  <c r="G22" i="5"/>
  <c r="E22" i="5"/>
  <c r="C22" i="5"/>
  <c r="AD21" i="5"/>
  <c r="X21" i="5"/>
  <c r="Z21" i="5" s="1"/>
  <c r="I21" i="5"/>
  <c r="G21" i="5"/>
  <c r="E21" i="5"/>
  <c r="C21" i="5"/>
  <c r="AD20" i="5"/>
  <c r="X20" i="5"/>
  <c r="Z20" i="5" s="1"/>
  <c r="I20" i="5"/>
  <c r="G20" i="5"/>
  <c r="E20" i="5"/>
  <c r="C20" i="5"/>
  <c r="AD19" i="5"/>
  <c r="X19" i="5"/>
  <c r="Z19" i="5" s="1"/>
  <c r="I19" i="5"/>
  <c r="G19" i="5"/>
  <c r="E19" i="5"/>
  <c r="C19" i="5"/>
  <c r="AD18" i="5"/>
  <c r="X18" i="5"/>
  <c r="Z18" i="5" s="1"/>
  <c r="I18" i="5"/>
  <c r="G18" i="5"/>
  <c r="E18" i="5"/>
  <c r="C18" i="5"/>
  <c r="AD17" i="5"/>
  <c r="X17" i="5"/>
  <c r="Z17" i="5" s="1"/>
  <c r="I17" i="5"/>
  <c r="G17" i="5"/>
  <c r="E17" i="5"/>
  <c r="C17" i="5"/>
  <c r="AD16" i="5"/>
  <c r="X16" i="5"/>
  <c r="Z16" i="5" s="1"/>
  <c r="I16" i="5"/>
  <c r="G16" i="5"/>
  <c r="E16" i="5"/>
  <c r="C16" i="5"/>
  <c r="AD15" i="5"/>
  <c r="X15" i="5"/>
  <c r="Z15" i="5" s="1"/>
  <c r="I15" i="5"/>
  <c r="G15" i="5"/>
  <c r="E15" i="5"/>
  <c r="C15" i="5"/>
  <c r="AD14" i="5"/>
  <c r="X14" i="5"/>
  <c r="Z14" i="5" s="1"/>
  <c r="I14" i="5"/>
  <c r="G14" i="5"/>
  <c r="E14" i="5"/>
  <c r="C14" i="5"/>
  <c r="AD13" i="5"/>
  <c r="X13" i="5"/>
  <c r="Z13" i="5" s="1"/>
  <c r="I13" i="5"/>
  <c r="G13" i="5"/>
  <c r="E13" i="5"/>
  <c r="C13" i="5"/>
  <c r="AD12" i="5"/>
  <c r="X12" i="5"/>
  <c r="Z12" i="5" s="1"/>
  <c r="I12" i="5"/>
  <c r="G12" i="5"/>
  <c r="E12" i="5"/>
  <c r="C12" i="5"/>
  <c r="X11" i="5"/>
  <c r="Z11" i="5" s="1"/>
  <c r="I11" i="5"/>
  <c r="G11" i="5"/>
  <c r="E11" i="5"/>
  <c r="C11" i="5"/>
  <c r="AD10" i="5"/>
  <c r="X10" i="5"/>
  <c r="Z10" i="5" s="1"/>
  <c r="I10" i="5"/>
  <c r="T10" i="5" s="1"/>
  <c r="G10" i="5"/>
  <c r="E10" i="5"/>
  <c r="C10" i="5"/>
  <c r="AD9" i="5"/>
  <c r="X9" i="5"/>
  <c r="Z9" i="5" s="1"/>
  <c r="I9" i="5"/>
  <c r="G9" i="5"/>
  <c r="E9" i="5"/>
  <c r="C9" i="5"/>
  <c r="AD8" i="5"/>
  <c r="X8" i="5"/>
  <c r="Z8" i="5" s="1"/>
  <c r="I8" i="5"/>
  <c r="G8" i="5"/>
  <c r="E8" i="5"/>
  <c r="C8" i="5"/>
  <c r="AD7" i="5"/>
  <c r="X7" i="5"/>
  <c r="Z7" i="5" s="1"/>
  <c r="I7" i="5"/>
  <c r="G7" i="5"/>
  <c r="E7" i="5"/>
  <c r="C7" i="5"/>
  <c r="AD6" i="5"/>
  <c r="X6" i="5"/>
  <c r="I6" i="5"/>
  <c r="G6" i="5"/>
  <c r="E6" i="5"/>
  <c r="C6" i="5"/>
  <c r="Z7" i="4"/>
  <c r="Z8" i="4"/>
  <c r="Z9" i="4"/>
  <c r="Z10" i="4"/>
  <c r="Z16" i="4"/>
  <c r="Z28" i="4"/>
  <c r="Z29" i="4"/>
  <c r="Z30" i="4"/>
  <c r="Z31" i="4"/>
  <c r="Y36" i="4"/>
  <c r="W36" i="4"/>
  <c r="X7" i="4"/>
  <c r="X8" i="4"/>
  <c r="X9" i="4"/>
  <c r="X10" i="4"/>
  <c r="X11" i="4"/>
  <c r="Z11" i="4" s="1"/>
  <c r="X12" i="4"/>
  <c r="Z12" i="4" s="1"/>
  <c r="X13" i="4"/>
  <c r="Z13" i="4" s="1"/>
  <c r="X14" i="4"/>
  <c r="Z14" i="4" s="1"/>
  <c r="X15" i="4"/>
  <c r="Z15" i="4" s="1"/>
  <c r="X16" i="4"/>
  <c r="X17" i="4"/>
  <c r="Z17" i="4" s="1"/>
  <c r="X18" i="4"/>
  <c r="Z18" i="4" s="1"/>
  <c r="X19" i="4"/>
  <c r="Z19" i="4" s="1"/>
  <c r="X20" i="4"/>
  <c r="Z20" i="4" s="1"/>
  <c r="X21" i="4"/>
  <c r="Z21" i="4" s="1"/>
  <c r="X22" i="4"/>
  <c r="Z22" i="4" s="1"/>
  <c r="X23" i="4"/>
  <c r="Z23" i="4" s="1"/>
  <c r="X24" i="4"/>
  <c r="Z24" i="4" s="1"/>
  <c r="X25" i="4"/>
  <c r="Z25" i="4" s="1"/>
  <c r="X26" i="4"/>
  <c r="Z26" i="4" s="1"/>
  <c r="X27" i="4"/>
  <c r="Z27" i="4" s="1"/>
  <c r="X28" i="4"/>
  <c r="X29" i="4"/>
  <c r="X30" i="4"/>
  <c r="X31" i="4"/>
  <c r="X32" i="4"/>
  <c r="Z32" i="4" s="1"/>
  <c r="X33" i="4"/>
  <c r="Z33" i="4" s="1"/>
  <c r="X34" i="4"/>
  <c r="Z34" i="4" s="1"/>
  <c r="X35" i="4"/>
  <c r="Z35" i="4" s="1"/>
  <c r="X6" i="4"/>
  <c r="Z6" i="4" s="1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7" i="4"/>
  <c r="E8" i="4"/>
  <c r="E9" i="4"/>
  <c r="E10" i="4"/>
  <c r="E11" i="4"/>
  <c r="E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6" i="4"/>
  <c r="M34" i="4"/>
  <c r="M3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P31" i="4" s="1"/>
  <c r="M32" i="4"/>
  <c r="M33" i="4"/>
  <c r="U36" i="4"/>
  <c r="S36" i="4"/>
  <c r="Q36" i="4"/>
  <c r="N36" i="4"/>
  <c r="L36" i="4"/>
  <c r="J36" i="4"/>
  <c r="H36" i="4"/>
  <c r="B36" i="4"/>
  <c r="T35" i="4"/>
  <c r="V35" i="4" s="1"/>
  <c r="O35" i="4"/>
  <c r="K35" i="4"/>
  <c r="I35" i="4"/>
  <c r="G35" i="4"/>
  <c r="T34" i="4"/>
  <c r="V34" i="4" s="1"/>
  <c r="O34" i="4"/>
  <c r="K34" i="4"/>
  <c r="I34" i="4"/>
  <c r="G34" i="4"/>
  <c r="T33" i="4"/>
  <c r="V33" i="4" s="1"/>
  <c r="O33" i="4"/>
  <c r="P33" i="4" s="1"/>
  <c r="K33" i="4"/>
  <c r="I33" i="4"/>
  <c r="G33" i="4"/>
  <c r="T32" i="4"/>
  <c r="V32" i="4" s="1"/>
  <c r="O32" i="4"/>
  <c r="K32" i="4"/>
  <c r="I32" i="4"/>
  <c r="G32" i="4"/>
  <c r="T31" i="4"/>
  <c r="V31" i="4" s="1"/>
  <c r="O31" i="4"/>
  <c r="K31" i="4"/>
  <c r="I31" i="4"/>
  <c r="G31" i="4"/>
  <c r="T30" i="4"/>
  <c r="V30" i="4" s="1"/>
  <c r="O30" i="4"/>
  <c r="K30" i="4"/>
  <c r="I30" i="4"/>
  <c r="G30" i="4"/>
  <c r="T29" i="4"/>
  <c r="V29" i="4" s="1"/>
  <c r="O29" i="4"/>
  <c r="K29" i="4"/>
  <c r="I29" i="4"/>
  <c r="G29" i="4"/>
  <c r="D36" i="4"/>
  <c r="T28" i="4"/>
  <c r="V28" i="4" s="1"/>
  <c r="O28" i="4"/>
  <c r="K28" i="4"/>
  <c r="I28" i="4"/>
  <c r="G28" i="4"/>
  <c r="T27" i="4"/>
  <c r="V27" i="4" s="1"/>
  <c r="O27" i="4"/>
  <c r="K27" i="4"/>
  <c r="I27" i="4"/>
  <c r="G27" i="4"/>
  <c r="T26" i="4"/>
  <c r="V26" i="4" s="1"/>
  <c r="O26" i="4"/>
  <c r="K26" i="4"/>
  <c r="I26" i="4"/>
  <c r="G26" i="4"/>
  <c r="T25" i="4"/>
  <c r="V25" i="4" s="1"/>
  <c r="O25" i="4"/>
  <c r="K25" i="4"/>
  <c r="I25" i="4"/>
  <c r="G25" i="4"/>
  <c r="T24" i="4"/>
  <c r="V24" i="4" s="1"/>
  <c r="O24" i="4"/>
  <c r="K24" i="4"/>
  <c r="I24" i="4"/>
  <c r="G24" i="4"/>
  <c r="T23" i="4"/>
  <c r="V23" i="4" s="1"/>
  <c r="O23" i="4"/>
  <c r="K23" i="4"/>
  <c r="I23" i="4"/>
  <c r="F36" i="4"/>
  <c r="T22" i="4"/>
  <c r="V22" i="4" s="1"/>
  <c r="O22" i="4"/>
  <c r="K22" i="4"/>
  <c r="I22" i="4"/>
  <c r="G22" i="4"/>
  <c r="T21" i="4"/>
  <c r="V21" i="4" s="1"/>
  <c r="O21" i="4"/>
  <c r="K21" i="4"/>
  <c r="I21" i="4"/>
  <c r="G21" i="4"/>
  <c r="T20" i="4"/>
  <c r="V20" i="4" s="1"/>
  <c r="O20" i="4"/>
  <c r="K20" i="4"/>
  <c r="I20" i="4"/>
  <c r="G20" i="4"/>
  <c r="T19" i="4"/>
  <c r="V19" i="4" s="1"/>
  <c r="O19" i="4"/>
  <c r="K19" i="4"/>
  <c r="I19" i="4"/>
  <c r="G19" i="4"/>
  <c r="T18" i="4"/>
  <c r="V18" i="4" s="1"/>
  <c r="O18" i="4"/>
  <c r="K18" i="4"/>
  <c r="I18" i="4"/>
  <c r="G18" i="4"/>
  <c r="T17" i="4"/>
  <c r="V17" i="4" s="1"/>
  <c r="O17" i="4"/>
  <c r="K17" i="4"/>
  <c r="I17" i="4"/>
  <c r="G17" i="4"/>
  <c r="T16" i="4"/>
  <c r="V16" i="4" s="1"/>
  <c r="O16" i="4"/>
  <c r="K16" i="4"/>
  <c r="I16" i="4"/>
  <c r="G16" i="4"/>
  <c r="T15" i="4"/>
  <c r="V15" i="4" s="1"/>
  <c r="O15" i="4"/>
  <c r="M15" i="4"/>
  <c r="K15" i="4"/>
  <c r="I15" i="4"/>
  <c r="G15" i="4"/>
  <c r="T14" i="4"/>
  <c r="V14" i="4" s="1"/>
  <c r="O14" i="4"/>
  <c r="M14" i="4"/>
  <c r="K14" i="4"/>
  <c r="I14" i="4"/>
  <c r="G14" i="4"/>
  <c r="T13" i="4"/>
  <c r="V13" i="4" s="1"/>
  <c r="O13" i="4"/>
  <c r="M13" i="4"/>
  <c r="K13" i="4"/>
  <c r="I13" i="4"/>
  <c r="G13" i="4"/>
  <c r="T12" i="4"/>
  <c r="V12" i="4" s="1"/>
  <c r="O12" i="4"/>
  <c r="M12" i="4"/>
  <c r="K12" i="4"/>
  <c r="I12" i="4"/>
  <c r="G12" i="4"/>
  <c r="T11" i="4"/>
  <c r="V11" i="4" s="1"/>
  <c r="O11" i="4"/>
  <c r="M11" i="4"/>
  <c r="K11" i="4"/>
  <c r="I11" i="4"/>
  <c r="G11" i="4"/>
  <c r="T10" i="4"/>
  <c r="V10" i="4" s="1"/>
  <c r="O10" i="4"/>
  <c r="M10" i="4"/>
  <c r="K10" i="4"/>
  <c r="I10" i="4"/>
  <c r="G10" i="4"/>
  <c r="T9" i="4"/>
  <c r="V9" i="4" s="1"/>
  <c r="O9" i="4"/>
  <c r="M9" i="4"/>
  <c r="K9" i="4"/>
  <c r="I9" i="4"/>
  <c r="G9" i="4"/>
  <c r="T8" i="4"/>
  <c r="V8" i="4" s="1"/>
  <c r="O8" i="4"/>
  <c r="M8" i="4"/>
  <c r="K8" i="4"/>
  <c r="I8" i="4"/>
  <c r="G8" i="4"/>
  <c r="T7" i="4"/>
  <c r="V7" i="4" s="1"/>
  <c r="O7" i="4"/>
  <c r="M7" i="4"/>
  <c r="K7" i="4"/>
  <c r="I7" i="4"/>
  <c r="G7" i="4"/>
  <c r="T6" i="4"/>
  <c r="O6" i="4"/>
  <c r="M6" i="4"/>
  <c r="K6" i="4"/>
  <c r="I6" i="4"/>
  <c r="G6" i="4"/>
  <c r="J37" i="3"/>
  <c r="L37" i="3"/>
  <c r="N37" i="3"/>
  <c r="F34" i="3"/>
  <c r="D34" i="3"/>
  <c r="F33" i="3"/>
  <c r="D33" i="3"/>
  <c r="F32" i="3"/>
  <c r="D32" i="3"/>
  <c r="F31" i="3"/>
  <c r="D31" i="3"/>
  <c r="T15" i="5" l="1"/>
  <c r="T25" i="5"/>
  <c r="T13" i="5"/>
  <c r="T8" i="5"/>
  <c r="T12" i="5"/>
  <c r="V12" i="5" s="1"/>
  <c r="T18" i="5"/>
  <c r="T20" i="5"/>
  <c r="T33" i="5"/>
  <c r="V33" i="5" s="1"/>
  <c r="T24" i="5"/>
  <c r="V24" i="5" s="1"/>
  <c r="T26" i="5"/>
  <c r="V26" i="5" s="1"/>
  <c r="T9" i="5"/>
  <c r="T21" i="5"/>
  <c r="V21" i="5" s="1"/>
  <c r="T11" i="5"/>
  <c r="P15" i="4"/>
  <c r="P25" i="4"/>
  <c r="P9" i="4"/>
  <c r="P16" i="4"/>
  <c r="R16" i="4" s="1"/>
  <c r="P28" i="4"/>
  <c r="P35" i="4"/>
  <c r="R35" i="4" s="1"/>
  <c r="P19" i="4"/>
  <c r="R19" i="4" s="1"/>
  <c r="P7" i="4"/>
  <c r="R7" i="4" s="1"/>
  <c r="P11" i="4"/>
  <c r="R11" i="4" s="1"/>
  <c r="P27" i="4"/>
  <c r="R27" i="4" s="1"/>
  <c r="P34" i="4"/>
  <c r="R34" i="4" s="1"/>
  <c r="P6" i="4"/>
  <c r="P29" i="4"/>
  <c r="T28" i="5"/>
  <c r="V28" i="5" s="1"/>
  <c r="X36" i="4"/>
  <c r="Z36" i="4" s="1"/>
  <c r="T6" i="5"/>
  <c r="P13" i="4"/>
  <c r="P20" i="4"/>
  <c r="P32" i="4"/>
  <c r="R32" i="4" s="1"/>
  <c r="P18" i="4"/>
  <c r="R18" i="4" s="1"/>
  <c r="P30" i="4"/>
  <c r="R30" i="4" s="1"/>
  <c r="P17" i="4"/>
  <c r="R17" i="4" s="1"/>
  <c r="T34" i="5"/>
  <c r="V34" i="5" s="1"/>
  <c r="T27" i="5"/>
  <c r="V27" i="5" s="1"/>
  <c r="T19" i="5"/>
  <c r="V19" i="5" s="1"/>
  <c r="T16" i="5"/>
  <c r="V16" i="5" s="1"/>
  <c r="T14" i="5"/>
  <c r="T7" i="5"/>
  <c r="V7" i="5" s="1"/>
  <c r="T22" i="5"/>
  <c r="V22" i="5" s="1"/>
  <c r="T31" i="5"/>
  <c r="V31" i="5" s="1"/>
  <c r="T30" i="5"/>
  <c r="V30" i="5" s="1"/>
  <c r="T29" i="5"/>
  <c r="V29" i="5" s="1"/>
  <c r="T17" i="5"/>
  <c r="V17" i="5" s="1"/>
  <c r="V13" i="5"/>
  <c r="Q37" i="5"/>
  <c r="C37" i="5"/>
  <c r="V15" i="5"/>
  <c r="V23" i="5"/>
  <c r="V14" i="5"/>
  <c r="V18" i="5"/>
  <c r="AB37" i="5"/>
  <c r="I37" i="5"/>
  <c r="V8" i="5"/>
  <c r="V32" i="5"/>
  <c r="S37" i="5"/>
  <c r="V11" i="5"/>
  <c r="E37" i="5"/>
  <c r="X37" i="5"/>
  <c r="V10" i="5"/>
  <c r="AD11" i="5"/>
  <c r="G37" i="5"/>
  <c r="V20" i="5"/>
  <c r="V9" i="5"/>
  <c r="V25" i="5"/>
  <c r="Z6" i="5"/>
  <c r="P21" i="4"/>
  <c r="P8" i="4"/>
  <c r="R8" i="4" s="1"/>
  <c r="P10" i="4"/>
  <c r="P12" i="4"/>
  <c r="R12" i="4" s="1"/>
  <c r="P14" i="4"/>
  <c r="R14" i="4" s="1"/>
  <c r="P26" i="4"/>
  <c r="R26" i="4" s="1"/>
  <c r="P24" i="4"/>
  <c r="R24" i="4" s="1"/>
  <c r="P22" i="4"/>
  <c r="R10" i="4"/>
  <c r="C36" i="4"/>
  <c r="R15" i="4"/>
  <c r="R29" i="4"/>
  <c r="R21" i="4"/>
  <c r="R9" i="4"/>
  <c r="K36" i="4"/>
  <c r="R25" i="4"/>
  <c r="R28" i="4"/>
  <c r="I36" i="4"/>
  <c r="R22" i="4"/>
  <c r="T36" i="4"/>
  <c r="V36" i="4" s="1"/>
  <c r="O36" i="4"/>
  <c r="M36" i="4"/>
  <c r="R20" i="4"/>
  <c r="R13" i="4"/>
  <c r="R31" i="4"/>
  <c r="R33" i="4"/>
  <c r="E36" i="4"/>
  <c r="V6" i="4"/>
  <c r="G23" i="4"/>
  <c r="P23" i="4" s="1"/>
  <c r="D29" i="3"/>
  <c r="E29" i="3" s="1"/>
  <c r="F29" i="3"/>
  <c r="F30" i="3"/>
  <c r="D30" i="3"/>
  <c r="E30" i="3" s="1"/>
  <c r="G29" i="3"/>
  <c r="C29" i="3"/>
  <c r="F28" i="3"/>
  <c r="G28" i="3" s="1"/>
  <c r="T28" i="3"/>
  <c r="V28" i="3" s="1"/>
  <c r="T29" i="3"/>
  <c r="V29" i="3" s="1"/>
  <c r="O28" i="3"/>
  <c r="O29" i="3"/>
  <c r="O30" i="3"/>
  <c r="M28" i="3"/>
  <c r="M29" i="3"/>
  <c r="K28" i="3"/>
  <c r="K29" i="3"/>
  <c r="I28" i="3"/>
  <c r="I29" i="3"/>
  <c r="E28" i="3"/>
  <c r="C30" i="3"/>
  <c r="C28" i="3"/>
  <c r="F26" i="3"/>
  <c r="F25" i="3"/>
  <c r="F24" i="3"/>
  <c r="F23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31" i="3"/>
  <c r="O32" i="3"/>
  <c r="O33" i="3"/>
  <c r="O34" i="3"/>
  <c r="O35" i="3"/>
  <c r="O36" i="3"/>
  <c r="O6" i="3"/>
  <c r="S43" i="5" l="1"/>
  <c r="AD37" i="5"/>
  <c r="K44" i="5"/>
  <c r="Z37" i="5"/>
  <c r="J43" i="5"/>
  <c r="K42" i="5"/>
  <c r="M49" i="5" s="1"/>
  <c r="T37" i="5"/>
  <c r="V37" i="5" s="1"/>
  <c r="V6" i="5"/>
  <c r="R23" i="4"/>
  <c r="P36" i="4"/>
  <c r="R36" i="4" s="1"/>
  <c r="R6" i="4"/>
  <c r="G36" i="4"/>
  <c r="O37" i="3"/>
  <c r="P28" i="3"/>
  <c r="R28" i="3" s="1"/>
  <c r="P29" i="3"/>
  <c r="R29" i="3" s="1"/>
  <c r="E20" i="3" l="1"/>
  <c r="C20" i="3"/>
  <c r="G19" i="3"/>
  <c r="E19" i="3"/>
  <c r="E18" i="3"/>
  <c r="C18" i="3"/>
  <c r="C19" i="3"/>
  <c r="G18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30" i="3"/>
  <c r="M31" i="3"/>
  <c r="M32" i="3"/>
  <c r="M33" i="3"/>
  <c r="M34" i="3"/>
  <c r="M35" i="3"/>
  <c r="M36" i="3"/>
  <c r="M6" i="3"/>
  <c r="G12" i="3"/>
  <c r="G17" i="3"/>
  <c r="G16" i="3"/>
  <c r="G15" i="3"/>
  <c r="G14" i="3"/>
  <c r="G13" i="3"/>
  <c r="G11" i="3"/>
  <c r="G10" i="3"/>
  <c r="G9" i="3"/>
  <c r="G8" i="3"/>
  <c r="G7" i="3"/>
  <c r="G6" i="3"/>
  <c r="E17" i="3"/>
  <c r="E16" i="3"/>
  <c r="E15" i="3"/>
  <c r="E14" i="3"/>
  <c r="E13" i="3"/>
  <c r="E12" i="3"/>
  <c r="E11" i="3"/>
  <c r="E10" i="3"/>
  <c r="E9" i="3"/>
  <c r="E7" i="3"/>
  <c r="E6" i="3"/>
  <c r="C17" i="3"/>
  <c r="C16" i="3"/>
  <c r="C15" i="3"/>
  <c r="C14" i="3"/>
  <c r="C13" i="3"/>
  <c r="C12" i="3"/>
  <c r="C11" i="3"/>
  <c r="C10" i="3"/>
  <c r="C9" i="3"/>
  <c r="C8" i="3"/>
  <c r="C6" i="3"/>
  <c r="U37" i="3"/>
  <c r="S37" i="3"/>
  <c r="H37" i="3"/>
  <c r="T36" i="3"/>
  <c r="V36" i="3" s="1"/>
  <c r="K36" i="3"/>
  <c r="I36" i="3"/>
  <c r="G36" i="3"/>
  <c r="E36" i="3"/>
  <c r="C36" i="3"/>
  <c r="T35" i="3"/>
  <c r="V35" i="3" s="1"/>
  <c r="K35" i="3"/>
  <c r="I35" i="3"/>
  <c r="G35" i="3"/>
  <c r="E35" i="3"/>
  <c r="C35" i="3"/>
  <c r="T34" i="3"/>
  <c r="V34" i="3" s="1"/>
  <c r="K34" i="3"/>
  <c r="I34" i="3"/>
  <c r="G34" i="3"/>
  <c r="E34" i="3"/>
  <c r="C34" i="3"/>
  <c r="T33" i="3"/>
  <c r="V33" i="3" s="1"/>
  <c r="K33" i="3"/>
  <c r="I33" i="3"/>
  <c r="G33" i="3"/>
  <c r="E33" i="3"/>
  <c r="C33" i="3"/>
  <c r="T32" i="3"/>
  <c r="V32" i="3" s="1"/>
  <c r="K32" i="3"/>
  <c r="I32" i="3"/>
  <c r="G32" i="3"/>
  <c r="E32" i="3"/>
  <c r="C32" i="3"/>
  <c r="T31" i="3"/>
  <c r="V31" i="3" s="1"/>
  <c r="K31" i="3"/>
  <c r="I31" i="3"/>
  <c r="G31" i="3"/>
  <c r="E31" i="3"/>
  <c r="C31" i="3"/>
  <c r="T30" i="3"/>
  <c r="V30" i="3" s="1"/>
  <c r="K30" i="3"/>
  <c r="I30" i="3"/>
  <c r="G30" i="3"/>
  <c r="T27" i="3"/>
  <c r="V27" i="3" s="1"/>
  <c r="K27" i="3"/>
  <c r="I27" i="3"/>
  <c r="G27" i="3"/>
  <c r="E27" i="3"/>
  <c r="C27" i="3"/>
  <c r="T26" i="3"/>
  <c r="V26" i="3" s="1"/>
  <c r="K26" i="3"/>
  <c r="I26" i="3"/>
  <c r="G26" i="3"/>
  <c r="E26" i="3"/>
  <c r="C26" i="3"/>
  <c r="T25" i="3"/>
  <c r="V25" i="3" s="1"/>
  <c r="K25" i="3"/>
  <c r="I25" i="3"/>
  <c r="G25" i="3"/>
  <c r="E25" i="3"/>
  <c r="C25" i="3"/>
  <c r="T24" i="3"/>
  <c r="V24" i="3" s="1"/>
  <c r="K24" i="3"/>
  <c r="I24" i="3"/>
  <c r="G24" i="3"/>
  <c r="E24" i="3"/>
  <c r="C24" i="3"/>
  <c r="T23" i="3"/>
  <c r="V23" i="3" s="1"/>
  <c r="K23" i="3"/>
  <c r="I23" i="3"/>
  <c r="G23" i="3"/>
  <c r="E23" i="3"/>
  <c r="C23" i="3"/>
  <c r="T22" i="3"/>
  <c r="V22" i="3" s="1"/>
  <c r="K22" i="3"/>
  <c r="I22" i="3"/>
  <c r="G22" i="3"/>
  <c r="E22" i="3"/>
  <c r="C22" i="3"/>
  <c r="T21" i="3"/>
  <c r="V21" i="3" s="1"/>
  <c r="K21" i="3"/>
  <c r="I21" i="3"/>
  <c r="G21" i="3"/>
  <c r="E21" i="3"/>
  <c r="C21" i="3"/>
  <c r="T20" i="3"/>
  <c r="V20" i="3" s="1"/>
  <c r="K20" i="3"/>
  <c r="I20" i="3"/>
  <c r="G20" i="3"/>
  <c r="T19" i="3"/>
  <c r="V19" i="3" s="1"/>
  <c r="K19" i="3"/>
  <c r="I19" i="3"/>
  <c r="T18" i="3"/>
  <c r="V18" i="3" s="1"/>
  <c r="K18" i="3"/>
  <c r="I18" i="3"/>
  <c r="T17" i="3"/>
  <c r="V17" i="3" s="1"/>
  <c r="K17" i="3"/>
  <c r="I17" i="3"/>
  <c r="T16" i="3"/>
  <c r="V16" i="3" s="1"/>
  <c r="K16" i="3"/>
  <c r="I16" i="3"/>
  <c r="T15" i="3"/>
  <c r="V15" i="3" s="1"/>
  <c r="K15" i="3"/>
  <c r="I15" i="3"/>
  <c r="T14" i="3"/>
  <c r="V14" i="3" s="1"/>
  <c r="K14" i="3"/>
  <c r="I14" i="3"/>
  <c r="T13" i="3"/>
  <c r="V13" i="3" s="1"/>
  <c r="K13" i="3"/>
  <c r="I13" i="3"/>
  <c r="T12" i="3"/>
  <c r="V12" i="3" s="1"/>
  <c r="K12" i="3"/>
  <c r="I12" i="3"/>
  <c r="T11" i="3"/>
  <c r="V11" i="3" s="1"/>
  <c r="K11" i="3"/>
  <c r="I11" i="3"/>
  <c r="T10" i="3"/>
  <c r="V10" i="3" s="1"/>
  <c r="K10" i="3"/>
  <c r="I10" i="3"/>
  <c r="T9" i="3"/>
  <c r="V9" i="3" s="1"/>
  <c r="K9" i="3"/>
  <c r="I9" i="3"/>
  <c r="T8" i="3"/>
  <c r="V8" i="3" s="1"/>
  <c r="K8" i="3"/>
  <c r="I8" i="3"/>
  <c r="T7" i="3"/>
  <c r="V7" i="3" s="1"/>
  <c r="K7" i="3"/>
  <c r="I7" i="3"/>
  <c r="T6" i="3"/>
  <c r="V6" i="3" s="1"/>
  <c r="K6" i="3"/>
  <c r="I6" i="3"/>
  <c r="J36" i="1"/>
  <c r="J37" i="1" s="1"/>
  <c r="P7" i="1"/>
  <c r="R7" i="1" s="1"/>
  <c r="P8" i="1"/>
  <c r="P9" i="1"/>
  <c r="R9" i="1" s="1"/>
  <c r="P10" i="1"/>
  <c r="P11" i="1"/>
  <c r="R11" i="1" s="1"/>
  <c r="P12" i="1"/>
  <c r="R12" i="1" s="1"/>
  <c r="P13" i="1"/>
  <c r="R13" i="1" s="1"/>
  <c r="P14" i="1"/>
  <c r="R14" i="1" s="1"/>
  <c r="P15" i="1"/>
  <c r="R15" i="1" s="1"/>
  <c r="P16" i="1"/>
  <c r="R16" i="1" s="1"/>
  <c r="P17" i="1"/>
  <c r="R17" i="1" s="1"/>
  <c r="P18" i="1"/>
  <c r="R18" i="1" s="1"/>
  <c r="P19" i="1"/>
  <c r="R19" i="1" s="1"/>
  <c r="P20" i="1"/>
  <c r="P21" i="1"/>
  <c r="P22" i="1"/>
  <c r="R22" i="1" s="1"/>
  <c r="P23" i="1"/>
  <c r="R23" i="1" s="1"/>
  <c r="P24" i="1"/>
  <c r="R24" i="1" s="1"/>
  <c r="P25" i="1"/>
  <c r="R25" i="1" s="1"/>
  <c r="P26" i="1"/>
  <c r="R26" i="1" s="1"/>
  <c r="P27" i="1"/>
  <c r="R27" i="1" s="1"/>
  <c r="P28" i="1"/>
  <c r="R28" i="1" s="1"/>
  <c r="P29" i="1"/>
  <c r="R29" i="1" s="1"/>
  <c r="P30" i="1"/>
  <c r="R30" i="1" s="1"/>
  <c r="P31" i="1"/>
  <c r="R31" i="1" s="1"/>
  <c r="P32" i="1"/>
  <c r="P33" i="1"/>
  <c r="P34" i="1"/>
  <c r="P35" i="1"/>
  <c r="R35" i="1" s="1"/>
  <c r="P36" i="1"/>
  <c r="R36" i="1" s="1"/>
  <c r="H37" i="1"/>
  <c r="V8" i="1"/>
  <c r="V9" i="1"/>
  <c r="V15" i="1"/>
  <c r="V16" i="1"/>
  <c r="V17" i="1"/>
  <c r="V20" i="1"/>
  <c r="T7" i="1"/>
  <c r="V7" i="1" s="1"/>
  <c r="T8" i="1"/>
  <c r="T9" i="1"/>
  <c r="T10" i="1"/>
  <c r="V10" i="1" s="1"/>
  <c r="T11" i="1"/>
  <c r="V11" i="1" s="1"/>
  <c r="T12" i="1"/>
  <c r="V12" i="1" s="1"/>
  <c r="T13" i="1"/>
  <c r="V13" i="1" s="1"/>
  <c r="T14" i="1"/>
  <c r="V14" i="1" s="1"/>
  <c r="T15" i="1"/>
  <c r="T16" i="1"/>
  <c r="T17" i="1"/>
  <c r="T18" i="1"/>
  <c r="V18" i="1" s="1"/>
  <c r="T19" i="1"/>
  <c r="V19" i="1" s="1"/>
  <c r="T20" i="1"/>
  <c r="T21" i="1"/>
  <c r="V21" i="1" s="1"/>
  <c r="T22" i="1"/>
  <c r="V22" i="1" s="1"/>
  <c r="T23" i="1"/>
  <c r="V23" i="1" s="1"/>
  <c r="T24" i="1"/>
  <c r="V24" i="1" s="1"/>
  <c r="T25" i="1"/>
  <c r="V25" i="1" s="1"/>
  <c r="T26" i="1"/>
  <c r="V26" i="1" s="1"/>
  <c r="T27" i="1"/>
  <c r="V27" i="1" s="1"/>
  <c r="T28" i="1"/>
  <c r="V28" i="1" s="1"/>
  <c r="T29" i="1"/>
  <c r="V29" i="1" s="1"/>
  <c r="T30" i="1"/>
  <c r="V30" i="1" s="1"/>
  <c r="T31" i="1"/>
  <c r="V31" i="1" s="1"/>
  <c r="T32" i="1"/>
  <c r="V32" i="1" s="1"/>
  <c r="T33" i="1"/>
  <c r="V33" i="1" s="1"/>
  <c r="T34" i="1"/>
  <c r="V34" i="1" s="1"/>
  <c r="T35" i="1"/>
  <c r="V35" i="1" s="1"/>
  <c r="T36" i="1"/>
  <c r="V36" i="1" s="1"/>
  <c r="T6" i="1"/>
  <c r="V6" i="1" s="1"/>
  <c r="X7" i="1"/>
  <c r="X8" i="1"/>
  <c r="Z8" i="1" s="1"/>
  <c r="X9" i="1"/>
  <c r="Z9" i="1" s="1"/>
  <c r="X10" i="1"/>
  <c r="Z10" i="1" s="1"/>
  <c r="X11" i="1"/>
  <c r="Z11" i="1" s="1"/>
  <c r="X12" i="1"/>
  <c r="Z12" i="1" s="1"/>
  <c r="X13" i="1"/>
  <c r="X14" i="1"/>
  <c r="Z14" i="1" s="1"/>
  <c r="X15" i="1"/>
  <c r="Z15" i="1" s="1"/>
  <c r="X16" i="1"/>
  <c r="Z16" i="1" s="1"/>
  <c r="X17" i="1"/>
  <c r="Z17" i="1" s="1"/>
  <c r="X18" i="1"/>
  <c r="Z18" i="1" s="1"/>
  <c r="X19" i="1"/>
  <c r="Z19" i="1" s="1"/>
  <c r="X20" i="1"/>
  <c r="Z20" i="1" s="1"/>
  <c r="X21" i="1"/>
  <c r="Z21" i="1" s="1"/>
  <c r="X22" i="1"/>
  <c r="Z22" i="1" s="1"/>
  <c r="X23" i="1"/>
  <c r="Z23" i="1" s="1"/>
  <c r="X24" i="1"/>
  <c r="Z24" i="1" s="1"/>
  <c r="X25" i="1"/>
  <c r="Z25" i="1" s="1"/>
  <c r="X26" i="1"/>
  <c r="Z26" i="1" s="1"/>
  <c r="X27" i="1"/>
  <c r="Z27" i="1" s="1"/>
  <c r="X28" i="1"/>
  <c r="Z28" i="1" s="1"/>
  <c r="X29" i="1"/>
  <c r="Z29" i="1" s="1"/>
  <c r="X30" i="1"/>
  <c r="Z30" i="1" s="1"/>
  <c r="X31" i="1"/>
  <c r="Z31" i="1" s="1"/>
  <c r="X32" i="1"/>
  <c r="Z32" i="1" s="1"/>
  <c r="X33" i="1"/>
  <c r="Z33" i="1" s="1"/>
  <c r="X34" i="1"/>
  <c r="Z34" i="1" s="1"/>
  <c r="X35" i="1"/>
  <c r="Z35" i="1" s="1"/>
  <c r="X36" i="1"/>
  <c r="Z36" i="1" s="1"/>
  <c r="Z13" i="1"/>
  <c r="Y37" i="1"/>
  <c r="W37" i="1"/>
  <c r="U37" i="1"/>
  <c r="S37" i="1"/>
  <c r="Q37" i="1"/>
  <c r="O37" i="1"/>
  <c r="R8" i="1"/>
  <c r="R10" i="1"/>
  <c r="R20" i="1"/>
  <c r="R21" i="1"/>
  <c r="R32" i="1"/>
  <c r="R33" i="1"/>
  <c r="R34" i="1"/>
  <c r="P6" i="1"/>
  <c r="R6" i="1" s="1"/>
  <c r="X6" i="1"/>
  <c r="Z6" i="1" s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6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G7" i="1"/>
  <c r="G6" i="1"/>
  <c r="I7" i="1"/>
  <c r="I6" i="1"/>
  <c r="I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8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6" i="1"/>
  <c r="I37" i="1" l="1"/>
  <c r="K37" i="3"/>
  <c r="C37" i="1"/>
  <c r="I37" i="3"/>
  <c r="M37" i="3"/>
  <c r="P17" i="3"/>
  <c r="R17" i="3" s="1"/>
  <c r="P14" i="3"/>
  <c r="R14" i="3" s="1"/>
  <c r="P33" i="3"/>
  <c r="R33" i="3" s="1"/>
  <c r="P21" i="3"/>
  <c r="R21" i="3" s="1"/>
  <c r="P11" i="3"/>
  <c r="R11" i="3" s="1"/>
  <c r="P23" i="3"/>
  <c r="R23" i="3" s="1"/>
  <c r="P35" i="3"/>
  <c r="R35" i="3" s="1"/>
  <c r="P6" i="3"/>
  <c r="P15" i="3"/>
  <c r="R15" i="3" s="1"/>
  <c r="P18" i="3"/>
  <c r="R18" i="3" s="1"/>
  <c r="P22" i="3"/>
  <c r="R22" i="3" s="1"/>
  <c r="P34" i="3"/>
  <c r="R34" i="3" s="1"/>
  <c r="P25" i="3"/>
  <c r="R25" i="3" s="1"/>
  <c r="P20" i="3"/>
  <c r="R20" i="3" s="1"/>
  <c r="P32" i="3"/>
  <c r="R32" i="3" s="1"/>
  <c r="P27" i="3"/>
  <c r="R27" i="3" s="1"/>
  <c r="P9" i="3"/>
  <c r="R9" i="3" s="1"/>
  <c r="P12" i="3"/>
  <c r="R12" i="3" s="1"/>
  <c r="P19" i="3"/>
  <c r="R19" i="3" s="1"/>
  <c r="P30" i="3"/>
  <c r="R30" i="3" s="1"/>
  <c r="P24" i="3"/>
  <c r="R24" i="3" s="1"/>
  <c r="P36" i="3"/>
  <c r="R36" i="3" s="1"/>
  <c r="P31" i="3"/>
  <c r="R31" i="3" s="1"/>
  <c r="P10" i="3"/>
  <c r="R10" i="3" s="1"/>
  <c r="P13" i="3"/>
  <c r="R13" i="3" s="1"/>
  <c r="P16" i="3"/>
  <c r="R16" i="3" s="1"/>
  <c r="P26" i="3"/>
  <c r="R26" i="3"/>
  <c r="Q37" i="3"/>
  <c r="F37" i="3"/>
  <c r="D37" i="3"/>
  <c r="E8" i="3"/>
  <c r="E37" i="3" s="1"/>
  <c r="B37" i="3"/>
  <c r="C7" i="3"/>
  <c r="P7" i="3" s="1"/>
  <c r="G37" i="3"/>
  <c r="T37" i="3"/>
  <c r="V37" i="3" s="1"/>
  <c r="T37" i="1"/>
  <c r="V37" i="1" s="1"/>
  <c r="P37" i="1"/>
  <c r="R37" i="1" s="1"/>
  <c r="G37" i="1"/>
  <c r="K36" i="1"/>
  <c r="K37" i="1"/>
  <c r="X37" i="1"/>
  <c r="Z37" i="1" s="1"/>
  <c r="Z7" i="1"/>
  <c r="L12" i="1"/>
  <c r="N12" i="1" s="1"/>
  <c r="L11" i="1"/>
  <c r="N11" i="1" s="1"/>
  <c r="L27" i="1"/>
  <c r="N27" i="1" s="1"/>
  <c r="L15" i="1"/>
  <c r="N15" i="1" s="1"/>
  <c r="L26" i="1"/>
  <c r="N26" i="1" s="1"/>
  <c r="L14" i="1"/>
  <c r="N14" i="1" s="1"/>
  <c r="E37" i="1"/>
  <c r="L25" i="1"/>
  <c r="N25" i="1" s="1"/>
  <c r="L13" i="1"/>
  <c r="N13" i="1" s="1"/>
  <c r="L36" i="1"/>
  <c r="N36" i="1" s="1"/>
  <c r="L35" i="1"/>
  <c r="N35" i="1" s="1"/>
  <c r="L34" i="1"/>
  <c r="N34" i="1" s="1"/>
  <c r="L22" i="1"/>
  <c r="N22" i="1" s="1"/>
  <c r="L10" i="1"/>
  <c r="N10" i="1" s="1"/>
  <c r="L24" i="1"/>
  <c r="N24" i="1" s="1"/>
  <c r="L23" i="1"/>
  <c r="N23" i="1" s="1"/>
  <c r="L31" i="1"/>
  <c r="N31" i="1" s="1"/>
  <c r="L19" i="1"/>
  <c r="N19" i="1" s="1"/>
  <c r="L7" i="1"/>
  <c r="N7" i="1" s="1"/>
  <c r="L30" i="1"/>
  <c r="N30" i="1" s="1"/>
  <c r="L18" i="1"/>
  <c r="N18" i="1" s="1"/>
  <c r="L29" i="1"/>
  <c r="N29" i="1" s="1"/>
  <c r="L17" i="1"/>
  <c r="N17" i="1" s="1"/>
  <c r="L28" i="1"/>
  <c r="N28" i="1" s="1"/>
  <c r="L6" i="1"/>
  <c r="N6" i="1" s="1"/>
  <c r="L8" i="1"/>
  <c r="N8" i="1" s="1"/>
  <c r="L21" i="1"/>
  <c r="N21" i="1" s="1"/>
  <c r="L20" i="1"/>
  <c r="N20" i="1" s="1"/>
  <c r="L33" i="1"/>
  <c r="N33" i="1" s="1"/>
  <c r="L9" i="1"/>
  <c r="N9" i="1" s="1"/>
  <c r="L32" i="1"/>
  <c r="N32" i="1" s="1"/>
  <c r="L16" i="1"/>
  <c r="N16" i="1" s="1"/>
  <c r="M37" i="1"/>
  <c r="F37" i="1"/>
  <c r="D37" i="1"/>
  <c r="B37" i="1"/>
  <c r="P8" i="3" l="1"/>
  <c r="R8" i="3" s="1"/>
  <c r="R7" i="3"/>
  <c r="C37" i="3"/>
  <c r="R6" i="3"/>
  <c r="L37" i="1"/>
  <c r="N37" i="1" s="1"/>
  <c r="P37" i="3" l="1"/>
  <c r="R37" i="3" s="1"/>
</calcChain>
</file>

<file path=xl/sharedStrings.xml><?xml version="1.0" encoding="utf-8"?>
<sst xmlns="http://schemas.openxmlformats.org/spreadsheetml/2006/main" count="1051" uniqueCount="122">
  <si>
    <t>Daily Issue</t>
  </si>
  <si>
    <t>Date</t>
  </si>
  <si>
    <t>Breakfast</t>
  </si>
  <si>
    <t>Lunch</t>
  </si>
  <si>
    <t>Dinner</t>
  </si>
  <si>
    <t>Refreshment Trays</t>
  </si>
  <si>
    <t>Issue</t>
  </si>
  <si>
    <t>Total</t>
  </si>
  <si>
    <t>QUDRAT NATIONAL</t>
  </si>
  <si>
    <t>Mid Night</t>
  </si>
  <si>
    <t xml:space="preserve">Aramco Man Days </t>
  </si>
  <si>
    <t>PS -3</t>
  </si>
  <si>
    <t>Box Meals</t>
  </si>
  <si>
    <t>Total Amount</t>
  </si>
  <si>
    <t>Amt</t>
  </si>
  <si>
    <t>Amt Snacks</t>
  </si>
  <si>
    <t>Cost</t>
  </si>
  <si>
    <t>SNACKS FOR ROOMS</t>
  </si>
  <si>
    <t>REFRESHMENT TRAYS</t>
  </si>
  <si>
    <t>VIP GUEST</t>
  </si>
  <si>
    <t>Food Cost</t>
  </si>
  <si>
    <t>Snacks rooms</t>
  </si>
  <si>
    <t>Refreshment tray Amt</t>
  </si>
  <si>
    <t>Daily Food cost summary</t>
  </si>
  <si>
    <t>Auguest</t>
  </si>
  <si>
    <t xml:space="preserve">Aramco  Food Cost </t>
  </si>
  <si>
    <t>SEPTEMBER</t>
  </si>
  <si>
    <t>HOLYDAY MENU</t>
  </si>
  <si>
    <t>AMT</t>
  </si>
  <si>
    <t>ISSUNING</t>
  </si>
  <si>
    <t>COST</t>
  </si>
  <si>
    <t>EWRC-PS -3</t>
  </si>
  <si>
    <t>Daily Food cost summary ( OCT-24)</t>
  </si>
  <si>
    <t>OCTOVER-24</t>
  </si>
  <si>
    <t>Issuing..</t>
  </si>
  <si>
    <t>MEALBOX SNACKS</t>
  </si>
  <si>
    <t>MEALBOX REFF.</t>
  </si>
  <si>
    <t>MEAL BOX</t>
  </si>
  <si>
    <t>REFRESHMENT</t>
  </si>
  <si>
    <t>FOOD COST</t>
  </si>
  <si>
    <t>TOTAL Box Meals</t>
  </si>
  <si>
    <t>AIR DEFANCE</t>
  </si>
  <si>
    <t>TOTAL MANDAY'S</t>
  </si>
  <si>
    <t>FOOD Cost %</t>
  </si>
  <si>
    <t>MEAL BOX TOTAL AMOUNT :-</t>
  </si>
  <si>
    <t>ARAMCO TOTAL AMOUNT :-</t>
  </si>
  <si>
    <t>SANACS TOTAL AMOUNT :-</t>
  </si>
  <si>
    <t>AIR DEFANCE TOTAL :-</t>
  </si>
  <si>
    <t>TOTAL</t>
  </si>
  <si>
    <t>SNACKES</t>
  </si>
  <si>
    <t>TOTAL MANDAY</t>
  </si>
  <si>
    <t>TOTAL AMT</t>
  </si>
  <si>
    <t>ISSUING</t>
  </si>
  <si>
    <t>SHUTDOWN</t>
  </si>
  <si>
    <t>KPL ISSUE</t>
  </si>
  <si>
    <t>KPL PMT</t>
  </si>
  <si>
    <t>#PS-3PMT CAMP</t>
  </si>
  <si>
    <t xml:space="preserve">KPL </t>
  </si>
  <si>
    <t>Daily Food cost summary ( JAN-25)</t>
  </si>
  <si>
    <t xml:space="preserve">QUDRAT NATIONAL COMMERCIAL SERVICES </t>
  </si>
  <si>
    <t>PS - 03   ARAMCO &amp; ACGC FOOD COST</t>
  </si>
  <si>
    <t xml:space="preserve">                   Daily Food cost summary                                                     Month : FEBRUARY 2025</t>
  </si>
  <si>
    <t>PMT</t>
  </si>
  <si>
    <t>SAD BULK</t>
  </si>
  <si>
    <t>AIR DIFENCE</t>
  </si>
  <si>
    <t>ARAMCO ADDITIONAL COST</t>
  </si>
  <si>
    <t>ACGC COST</t>
  </si>
  <si>
    <t>QNCS</t>
  </si>
  <si>
    <t>TOTAL COST</t>
  </si>
  <si>
    <t>Total Mandays</t>
  </si>
  <si>
    <t>Cost/Madays</t>
  </si>
  <si>
    <t>Party</t>
  </si>
  <si>
    <t>REFRESHMTRAYS</t>
  </si>
  <si>
    <t>REFRESHME
COST</t>
  </si>
  <si>
    <t>SNACK COST</t>
  </si>
  <si>
    <t>HEAD 
COUNTS</t>
  </si>
  <si>
    <t>COST/MD</t>
  </si>
  <si>
    <t>GRAND
 TOTAL</t>
  </si>
  <si>
    <t xml:space="preserve">                   Daily Food cost summary                                                     Month : MARCH 2025</t>
  </si>
  <si>
    <t>COST/RF TRAY</t>
  </si>
  <si>
    <t xml:space="preserve">                   Daily Food cost summary                                                     Month : APRIL 2025</t>
  </si>
  <si>
    <t xml:space="preserve">                   Daily Food cost summary                                                     Month : MAY 2025</t>
  </si>
  <si>
    <t xml:space="preserve">                   Daily Food cost summary                                                     Month : JUNE 2025</t>
  </si>
  <si>
    <t xml:space="preserve">                   Daily Food cost summary                                                     Month : JULY 2025</t>
  </si>
  <si>
    <t xml:space="preserve">                   Daily Food cost summary                                                     Month : AUGUEST 2025</t>
  </si>
  <si>
    <t xml:space="preserve">                   Daily Food cost summary                                                     Month : SEPTEMBER 2025</t>
  </si>
  <si>
    <t xml:space="preserve">                   Daily Food cost summary                                                     Month : OCTOBER 2025</t>
  </si>
  <si>
    <t xml:space="preserve">                   Daily Food cost summary                                                     Month : NOVEMBER 2025</t>
  </si>
  <si>
    <t xml:space="preserve">                   Daily Food cost summary                                                     Month : DECEMBER 2025</t>
  </si>
  <si>
    <t>PS 3 Daily Issue</t>
  </si>
  <si>
    <t>From L &amp; T Daily Issue</t>
  </si>
  <si>
    <t>Total PMT Issue</t>
  </si>
  <si>
    <t>Party Man Days</t>
  </si>
  <si>
    <t>Party Issue</t>
  </si>
  <si>
    <t>Party Cost</t>
  </si>
  <si>
    <t>Laundry Issue</t>
  </si>
  <si>
    <t>Laundry Cost</t>
  </si>
  <si>
    <t>Disp &amp; Clng Issue</t>
  </si>
  <si>
    <t>Disp &amp; Clng Cost</t>
  </si>
  <si>
    <t>COFFEE SHOP</t>
  </si>
  <si>
    <t>TRF In</t>
  </si>
  <si>
    <t>TRF Out</t>
  </si>
  <si>
    <t>Water to AGCG</t>
  </si>
  <si>
    <t xml:space="preserve">                   Daily Food cost summary                                                     Month : JANUARY  2026</t>
  </si>
  <si>
    <t xml:space="preserve">                   Daily Food cost summary                                                     Month : FEBRUARY  2026</t>
  </si>
  <si>
    <t>Disp / Clng Items</t>
  </si>
  <si>
    <t>TRANSFER</t>
  </si>
  <si>
    <t>IN</t>
  </si>
  <si>
    <t>OUT</t>
  </si>
  <si>
    <t>Actual Disp / Clng Cost</t>
  </si>
  <si>
    <t>Budget Disp/ Clng Cost</t>
  </si>
  <si>
    <t>Food Man Day Cost</t>
  </si>
  <si>
    <t>Disp &amp; Clen Cost</t>
  </si>
  <si>
    <t>Total Cost/Madays</t>
  </si>
  <si>
    <t>Total Man Days</t>
  </si>
  <si>
    <t>Issues</t>
  </si>
  <si>
    <t>Man Day Cost</t>
  </si>
  <si>
    <t>N  H   C</t>
  </si>
  <si>
    <t xml:space="preserve">                   Daily Food cost summary                                                     Month : MARCH  2026</t>
  </si>
  <si>
    <t>QUDRAT NATIONAL COMPANY</t>
  </si>
  <si>
    <t xml:space="preserve">                   Daily Food cost summary                                                     Month : APRIL  2026</t>
  </si>
  <si>
    <t xml:space="preserve">                   Daily Food cost summary                                                     Month : MAY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</si>
</sst>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9"/>
      <color theme="1"/>
      <name val="Algerian"/>
      <family val="5"/>
    </font>
    <font>
      <b/>
      <sz val="2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0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/>
      </left>
      <right style="thin">
        <color theme="8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8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164" fontId="0" fillId="0" borderId="19" xfId="1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6" fillId="2" borderId="2" xfId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3" fontId="7" fillId="0" borderId="13" xfId="0" applyNumberFormat="1" applyFont="1" applyBorder="1" applyAlignment="1">
      <alignment horizontal="center"/>
    </xf>
    <xf numFmtId="43" fontId="7" fillId="0" borderId="14" xfId="0" applyNumberFormat="1" applyFont="1" applyBorder="1" applyAlignment="1">
      <alignment horizontal="center"/>
    </xf>
    <xf numFmtId="164" fontId="5" fillId="2" borderId="25" xfId="1" applyFont="1" applyFill="1" applyBorder="1" applyAlignment="1">
      <alignment horizontal="center" vertical="center"/>
    </xf>
    <xf numFmtId="164" fontId="0" fillId="0" borderId="0" xfId="1" applyFont="1"/>
    <xf numFmtId="164" fontId="0" fillId="2" borderId="19" xfId="1" applyFont="1" applyFill="1" applyBorder="1" applyAlignment="1">
      <alignment horizontal="center"/>
    </xf>
    <xf numFmtId="164" fontId="0" fillId="2" borderId="1" xfId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2" xfId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2" borderId="23" xfId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8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2" borderId="18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4" fontId="1" fillId="2" borderId="19" xfId="1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3" fontId="0" fillId="0" borderId="1" xfId="0" applyNumberFormat="1" applyBorder="1" applyAlignment="1">
      <alignment horizontal="right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vertical="center"/>
    </xf>
    <xf numFmtId="0" fontId="0" fillId="0" borderId="21" xfId="0" applyBorder="1"/>
    <xf numFmtId="0" fontId="0" fillId="0" borderId="1" xfId="0" applyBorder="1"/>
    <xf numFmtId="164" fontId="5" fillId="4" borderId="34" xfId="1" applyFon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/>
    <xf numFmtId="0" fontId="0" fillId="5" borderId="40" xfId="0" applyFill="1" applyBorder="1"/>
    <xf numFmtId="0" fontId="0" fillId="5" borderId="41" xfId="0" applyFill="1" applyBorder="1"/>
    <xf numFmtId="0" fontId="0" fillId="5" borderId="38" xfId="0" applyFill="1" applyBorder="1"/>
    <xf numFmtId="0" fontId="0" fillId="5" borderId="42" xfId="0" applyFill="1" applyBorder="1"/>
    <xf numFmtId="0" fontId="0" fillId="5" borderId="31" xfId="0" applyFill="1" applyBorder="1"/>
    <xf numFmtId="0" fontId="0" fillId="5" borderId="30" xfId="0" applyFill="1" applyBorder="1"/>
    <xf numFmtId="0" fontId="0" fillId="3" borderId="4" xfId="0" applyFill="1" applyBorder="1" applyAlignment="1">
      <alignment horizontal="center"/>
    </xf>
    <xf numFmtId="0" fontId="5" fillId="9" borderId="32" xfId="0" applyFont="1" applyFill="1" applyBorder="1" applyAlignment="1">
      <alignment horizontal="center" vertical="center" wrapText="1"/>
    </xf>
    <xf numFmtId="0" fontId="5" fillId="9" borderId="33" xfId="0" applyFont="1" applyFill="1" applyBorder="1" applyAlignment="1">
      <alignment horizontal="center" vertical="center" wrapText="1"/>
    </xf>
    <xf numFmtId="0" fontId="5" fillId="9" borderId="33" xfId="0" applyFont="1" applyFill="1" applyBorder="1" applyAlignment="1">
      <alignment horizontal="center" vertical="center"/>
    </xf>
    <xf numFmtId="164" fontId="5" fillId="9" borderId="34" xfId="1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1" fillId="0" borderId="11" xfId="0" applyNumberFormat="1" applyFont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5" fillId="10" borderId="5" xfId="0" applyFont="1" applyFill="1" applyBorder="1" applyAlignment="1">
      <alignment horizontal="center" vertical="center" wrapText="1"/>
    </xf>
    <xf numFmtId="0" fontId="5" fillId="10" borderId="24" xfId="0" applyFont="1" applyFill="1" applyBorder="1" applyAlignment="1">
      <alignment horizontal="center" vertical="center" wrapText="1"/>
    </xf>
    <xf numFmtId="0" fontId="5" fillId="10" borderId="44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4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2" fontId="0" fillId="0" borderId="1" xfId="0" applyNumberFormat="1" applyBorder="1"/>
    <xf numFmtId="2" fontId="0" fillId="2" borderId="1" xfId="0" applyNumberFormat="1" applyFill="1" applyBorder="1"/>
    <xf numFmtId="0" fontId="0" fillId="0" borderId="5" xfId="0" applyBorder="1"/>
    <xf numFmtId="0" fontId="0" fillId="0" borderId="6" xfId="0" applyBorder="1"/>
    <xf numFmtId="0" fontId="0" fillId="0" borderId="24" xfId="0" applyBorder="1"/>
    <xf numFmtId="0" fontId="0" fillId="0" borderId="44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164" fontId="3" fillId="2" borderId="19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2" fontId="3" fillId="2" borderId="1" xfId="0" applyNumberFormat="1" applyFont="1" applyFill="1" applyBorder="1"/>
    <xf numFmtId="165" fontId="0" fillId="2" borderId="1" xfId="0" applyNumberFormat="1" applyFill="1" applyBorder="1"/>
    <xf numFmtId="0" fontId="0" fillId="0" borderId="4" xfId="0" applyBorder="1" applyAlignment="1">
      <alignment horizontal="center" vertical="center"/>
    </xf>
    <xf numFmtId="0" fontId="0" fillId="2" borderId="4" xfId="0" applyFill="1" applyBorder="1"/>
    <xf numFmtId="0" fontId="0" fillId="0" borderId="4" xfId="0" applyBorder="1"/>
    <xf numFmtId="2" fontId="0" fillId="2" borderId="4" xfId="0" applyNumberFormat="1" applyFill="1" applyBorder="1"/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2" fillId="17" borderId="38" xfId="0" applyFont="1" applyFill="1" applyBorder="1" applyAlignment="1">
      <alignment horizontal="center" vertical="center"/>
    </xf>
    <xf numFmtId="0" fontId="13" fillId="11" borderId="24" xfId="0" applyFont="1" applyFill="1" applyBorder="1" applyAlignment="1">
      <alignment horizontal="center" vertical="center"/>
    </xf>
    <xf numFmtId="0" fontId="12" fillId="17" borderId="44" xfId="0" applyFont="1" applyFill="1" applyBorder="1" applyAlignment="1">
      <alignment horizontal="center" vertical="center"/>
    </xf>
    <xf numFmtId="0" fontId="12" fillId="7" borderId="35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vertical="center"/>
    </xf>
    <xf numFmtId="0" fontId="12" fillId="7" borderId="34" xfId="0" applyFont="1" applyFill="1" applyBorder="1" applyAlignment="1">
      <alignment vertical="center"/>
    </xf>
    <xf numFmtId="0" fontId="12" fillId="9" borderId="47" xfId="0" applyFont="1" applyFill="1" applyBorder="1" applyAlignment="1">
      <alignment horizontal="center" vertical="center"/>
    </xf>
    <xf numFmtId="0" fontId="12" fillId="9" borderId="33" xfId="0" applyFont="1" applyFill="1" applyBorder="1" applyAlignment="1">
      <alignment horizontal="center" wrapText="1"/>
    </xf>
    <xf numFmtId="0" fontId="12" fillId="9" borderId="33" xfId="0" applyFont="1" applyFill="1" applyBorder="1" applyAlignment="1">
      <alignment horizontal="center" vertical="center" wrapText="1"/>
    </xf>
    <xf numFmtId="164" fontId="12" fillId="9" borderId="48" xfId="1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vertical="center"/>
    </xf>
    <xf numFmtId="0" fontId="12" fillId="5" borderId="48" xfId="0" applyFont="1" applyFill="1" applyBorder="1" applyAlignment="1">
      <alignment vertical="center"/>
    </xf>
    <xf numFmtId="0" fontId="12" fillId="18" borderId="47" xfId="0" applyFont="1" applyFill="1" applyBorder="1" applyAlignment="1">
      <alignment horizontal="center" vertical="center"/>
    </xf>
    <xf numFmtId="0" fontId="12" fillId="18" borderId="33" xfId="0" applyFont="1" applyFill="1" applyBorder="1" applyAlignment="1">
      <alignment horizontal="center" vertical="center"/>
    </xf>
    <xf numFmtId="0" fontId="12" fillId="18" borderId="48" xfId="0" applyFont="1" applyFill="1" applyBorder="1" applyAlignment="1">
      <alignment horizontal="center" vertical="center"/>
    </xf>
    <xf numFmtId="14" fontId="0" fillId="0" borderId="49" xfId="0" applyNumberFormat="1" applyBorder="1"/>
    <xf numFmtId="0" fontId="0" fillId="19" borderId="50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39" fontId="0" fillId="19" borderId="18" xfId="1" applyNumberFormat="1" applyFont="1" applyFill="1" applyBorder="1" applyAlignment="1">
      <alignment horizontal="center"/>
    </xf>
    <xf numFmtId="2" fontId="0" fillId="19" borderId="4" xfId="0" applyNumberFormat="1" applyFill="1" applyBorder="1" applyAlignment="1">
      <alignment horizontal="center"/>
    </xf>
    <xf numFmtId="2" fontId="0" fillId="19" borderId="51" xfId="1" applyNumberFormat="1" applyFont="1" applyFill="1" applyBorder="1" applyAlignment="1">
      <alignment horizontal="center"/>
    </xf>
    <xf numFmtId="0" fontId="0" fillId="19" borderId="51" xfId="0" applyFill="1" applyBorder="1" applyAlignment="1">
      <alignment horizontal="center"/>
    </xf>
    <xf numFmtId="0" fontId="0" fillId="0" borderId="50" xfId="0" applyBorder="1"/>
    <xf numFmtId="2" fontId="0" fillId="0" borderId="4" xfId="0" applyNumberFormat="1" applyBorder="1"/>
    <xf numFmtId="39" fontId="0" fillId="7" borderId="51" xfId="1" applyNumberFormat="1" applyFont="1" applyFill="1" applyBorder="1" applyAlignment="1">
      <alignment horizontal="center"/>
    </xf>
    <xf numFmtId="0" fontId="0" fillId="11" borderId="52" xfId="0" applyFill="1" applyBorder="1" applyAlignment="1">
      <alignment horizontal="center"/>
    </xf>
    <xf numFmtId="14" fontId="0" fillId="0" borderId="53" xfId="0" applyNumberFormat="1" applyBorder="1"/>
    <xf numFmtId="0" fontId="0" fillId="19" borderId="54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2" fontId="0" fillId="19" borderId="1" xfId="0" applyNumberFormat="1" applyFill="1" applyBorder="1" applyAlignment="1">
      <alignment horizontal="center"/>
    </xf>
    <xf numFmtId="2" fontId="0" fillId="19" borderId="51" xfId="0" applyNumberFormat="1" applyFill="1" applyBorder="1" applyAlignment="1">
      <alignment horizontal="center"/>
    </xf>
    <xf numFmtId="0" fontId="0" fillId="19" borderId="55" xfId="0" applyFill="1" applyBorder="1" applyAlignment="1">
      <alignment horizontal="center"/>
    </xf>
    <xf numFmtId="0" fontId="0" fillId="0" borderId="54" xfId="0" applyBorder="1"/>
    <xf numFmtId="39" fontId="0" fillId="19" borderId="2" xfId="1" applyNumberFormat="1" applyFont="1" applyFill="1" applyBorder="1" applyAlignment="1">
      <alignment horizontal="center"/>
    </xf>
    <xf numFmtId="0" fontId="0" fillId="0" borderId="55" xfId="0" applyBorder="1"/>
    <xf numFmtId="14" fontId="0" fillId="0" borderId="56" xfId="0" applyNumberFormat="1" applyBorder="1"/>
    <xf numFmtId="0" fontId="0" fillId="19" borderId="57" xfId="0" applyFill="1" applyBorder="1" applyAlignment="1">
      <alignment horizontal="center"/>
    </xf>
    <xf numFmtId="0" fontId="0" fillId="19" borderId="28" xfId="0" applyFill="1" applyBorder="1" applyAlignment="1">
      <alignment horizontal="center"/>
    </xf>
    <xf numFmtId="39" fontId="0" fillId="19" borderId="58" xfId="1" applyNumberFormat="1" applyFont="1" applyFill="1" applyBorder="1" applyAlignment="1">
      <alignment horizontal="center"/>
    </xf>
    <xf numFmtId="2" fontId="0" fillId="19" borderId="28" xfId="0" applyNumberFormat="1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57" xfId="0" applyBorder="1"/>
    <xf numFmtId="2" fontId="0" fillId="0" borderId="28" xfId="0" applyNumberFormat="1" applyBorder="1"/>
    <xf numFmtId="0" fontId="0" fillId="0" borderId="59" xfId="0" applyBorder="1"/>
    <xf numFmtId="0" fontId="0" fillId="11" borderId="42" xfId="0" applyFill="1" applyBorder="1" applyAlignment="1">
      <alignment horizontal="center"/>
    </xf>
    <xf numFmtId="0" fontId="12" fillId="20" borderId="5" xfId="0" applyFont="1" applyFill="1" applyBorder="1" applyAlignment="1">
      <alignment horizontal="center" vertical="center" wrapText="1"/>
    </xf>
    <xf numFmtId="0" fontId="15" fillId="20" borderId="47" xfId="0" applyFont="1" applyFill="1" applyBorder="1" applyAlignment="1">
      <alignment horizontal="center" vertical="center"/>
    </xf>
    <xf numFmtId="164" fontId="15" fillId="20" borderId="47" xfId="1" applyFont="1" applyFill="1" applyBorder="1" applyAlignment="1">
      <alignment horizontal="center" vertical="center"/>
    </xf>
    <xf numFmtId="0" fontId="15" fillId="20" borderId="60" xfId="0" applyFont="1" applyFill="1" applyBorder="1" applyAlignment="1">
      <alignment horizontal="center" vertical="center"/>
    </xf>
    <xf numFmtId="164" fontId="0" fillId="19" borderId="51" xfId="1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164" fontId="0" fillId="11" borderId="52" xfId="1" applyFont="1" applyFill="1" applyBorder="1" applyAlignment="1">
      <alignment horizontal="center"/>
    </xf>
    <xf numFmtId="1" fontId="0" fillId="19" borderId="1" xfId="0" applyNumberFormat="1" applyFill="1" applyBorder="1" applyAlignment="1">
      <alignment horizontal="center"/>
    </xf>
    <xf numFmtId="0" fontId="0" fillId="0" borderId="54" xfId="0" applyBorder="1" applyAlignment="1">
      <alignment horizontal="center"/>
    </xf>
    <xf numFmtId="164" fontId="12" fillId="20" borderId="5" xfId="1" applyFont="1" applyFill="1" applyBorder="1" applyAlignment="1">
      <alignment horizontal="center" vertical="center" wrapText="1"/>
    </xf>
    <xf numFmtId="164" fontId="15" fillId="20" borderId="60" xfId="1" applyFont="1" applyFill="1" applyBorder="1" applyAlignment="1">
      <alignment horizontal="center" vertical="center"/>
    </xf>
    <xf numFmtId="1" fontId="0" fillId="19" borderId="54" xfId="0" applyNumberFormat="1" applyFill="1" applyBorder="1" applyAlignment="1">
      <alignment horizontal="center"/>
    </xf>
    <xf numFmtId="2" fontId="0" fillId="19" borderId="54" xfId="0" applyNumberFormat="1" applyFill="1" applyBorder="1" applyAlignment="1">
      <alignment horizontal="center"/>
    </xf>
    <xf numFmtId="43" fontId="0" fillId="19" borderId="1" xfId="0" applyNumberFormat="1" applyFill="1" applyBorder="1" applyAlignment="1">
      <alignment horizontal="center"/>
    </xf>
    <xf numFmtId="43" fontId="0" fillId="19" borderId="1" xfId="0" applyNumberFormat="1" applyFill="1" applyBorder="1" applyAlignment="1">
      <alignment vertical="center"/>
    </xf>
    <xf numFmtId="2" fontId="1" fillId="19" borderId="1" xfId="0" applyNumberFormat="1" applyFont="1" applyFill="1" applyBorder="1" applyAlignment="1">
      <alignment horizontal="center"/>
    </xf>
    <xf numFmtId="0" fontId="13" fillId="5" borderId="61" xfId="0" applyFont="1" applyFill="1" applyBorder="1" applyAlignment="1">
      <alignment horizontal="center" vertical="center"/>
    </xf>
    <xf numFmtId="0" fontId="12" fillId="7" borderId="34" xfId="0" applyFont="1" applyFill="1" applyBorder="1" applyAlignment="1">
      <alignment vertical="center" wrapText="1"/>
    </xf>
    <xf numFmtId="0" fontId="12" fillId="7" borderId="34" xfId="0" applyFont="1" applyFill="1" applyBorder="1" applyAlignment="1">
      <alignment horizontal="center" vertical="center" wrapText="1"/>
    </xf>
    <xf numFmtId="0" fontId="12" fillId="9" borderId="47" xfId="0" applyFont="1" applyFill="1" applyBorder="1" applyAlignment="1">
      <alignment horizontal="center" vertical="center" wrapText="1"/>
    </xf>
    <xf numFmtId="0" fontId="12" fillId="9" borderId="35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12" fillId="18" borderId="35" xfId="0" applyFont="1" applyFill="1" applyBorder="1" applyAlignment="1">
      <alignment horizontal="center" vertical="center"/>
    </xf>
    <xf numFmtId="0" fontId="12" fillId="18" borderId="62" xfId="0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/>
    </xf>
    <xf numFmtId="2" fontId="0" fillId="19" borderId="18" xfId="0" applyNumberFormat="1" applyFill="1" applyBorder="1" applyAlignment="1">
      <alignment horizontal="center"/>
    </xf>
    <xf numFmtId="0" fontId="0" fillId="19" borderId="15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0" fillId="0" borderId="15" xfId="0" applyBorder="1" applyAlignment="1">
      <alignment horizontal="center"/>
    </xf>
    <xf numFmtId="43" fontId="8" fillId="0" borderId="14" xfId="0" applyNumberFormat="1" applyFont="1" applyBorder="1"/>
    <xf numFmtId="43" fontId="8" fillId="0" borderId="63" xfId="0" applyNumberFormat="1" applyFont="1" applyBorder="1"/>
    <xf numFmtId="43" fontId="0" fillId="0" borderId="0" xfId="0" applyNumberFormat="1"/>
    <xf numFmtId="1" fontId="1" fillId="19" borderId="1" xfId="0" applyNumberFormat="1" applyFont="1" applyFill="1" applyBorder="1" applyAlignment="1">
      <alignment horizontal="center"/>
    </xf>
    <xf numFmtId="2" fontId="1" fillId="19" borderId="4" xfId="0" applyNumberFormat="1" applyFont="1" applyFill="1" applyBorder="1" applyAlignment="1">
      <alignment horizontal="center"/>
    </xf>
    <xf numFmtId="0" fontId="1" fillId="19" borderId="54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43" fontId="8" fillId="0" borderId="13" xfId="0" applyNumberFormat="1" applyFont="1" applyBorder="1"/>
    <xf numFmtId="43" fontId="8" fillId="0" borderId="64" xfId="0" applyNumberFormat="1" applyFont="1" applyBorder="1"/>
    <xf numFmtId="2" fontId="0" fillId="19" borderId="3" xfId="0" applyNumberFormat="1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43" fontId="16" fillId="0" borderId="13" xfId="0" applyNumberFormat="1" applyFont="1" applyBorder="1"/>
    <xf numFmtId="43" fontId="8" fillId="0" borderId="65" xfId="0" applyNumberFormat="1" applyFont="1" applyBorder="1"/>
    <xf numFmtId="2" fontId="1" fillId="2" borderId="1" xfId="0" applyNumberFormat="1" applyFon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14" borderId="18" xfId="0" applyNumberForma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43" fontId="16" fillId="0" borderId="14" xfId="0" applyNumberFormat="1" applyFont="1" applyBorder="1"/>
    <xf numFmtId="2" fontId="1" fillId="19" borderId="28" xfId="0" applyNumberFormat="1" applyFont="1" applyFill="1" applyBorder="1" applyAlignment="1">
      <alignment horizontal="center"/>
    </xf>
    <xf numFmtId="0" fontId="0" fillId="19" borderId="66" xfId="0" applyFill="1" applyBorder="1" applyAlignment="1">
      <alignment horizontal="center"/>
    </xf>
    <xf numFmtId="0" fontId="1" fillId="19" borderId="57" xfId="0" applyFont="1" applyFill="1" applyBorder="1" applyAlignment="1">
      <alignment horizontal="center"/>
    </xf>
    <xf numFmtId="0" fontId="1" fillId="19" borderId="28" xfId="0" applyFont="1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5" fillId="20" borderId="47" xfId="1" applyNumberFormat="1" applyFont="1" applyFill="1" applyBorder="1" applyAlignment="1">
      <alignment horizontal="center" vertical="center"/>
    </xf>
    <xf numFmtId="164" fontId="15" fillId="20" borderId="67" xfId="1" applyFont="1" applyFill="1" applyBorder="1" applyAlignment="1">
      <alignment horizontal="center" vertical="center"/>
    </xf>
    <xf numFmtId="39" fontId="4" fillId="19" borderId="18" xfId="1" applyNumberFormat="1" applyFont="1" applyFill="1" applyBorder="1" applyAlignment="1">
      <alignment horizontal="center"/>
    </xf>
    <xf numFmtId="2" fontId="4" fillId="19" borderId="51" xfId="1" applyNumberFormat="1" applyFont="1" applyFill="1" applyBorder="1" applyAlignment="1">
      <alignment horizontal="center"/>
    </xf>
    <xf numFmtId="164" fontId="4" fillId="19" borderId="51" xfId="1" applyFont="1" applyFill="1" applyBorder="1" applyAlignment="1">
      <alignment horizontal="center"/>
    </xf>
    <xf numFmtId="39" fontId="4" fillId="7" borderId="51" xfId="1" applyNumberFormat="1" applyFont="1" applyFill="1" applyBorder="1" applyAlignment="1">
      <alignment horizontal="center"/>
    </xf>
    <xf numFmtId="164" fontId="4" fillId="11" borderId="52" xfId="1" applyFont="1" applyFill="1" applyBorder="1" applyAlignment="1">
      <alignment horizontal="center"/>
    </xf>
    <xf numFmtId="0" fontId="0" fillId="19" borderId="68" xfId="0" applyFill="1" applyBorder="1" applyAlignment="1">
      <alignment horizontal="center"/>
    </xf>
    <xf numFmtId="43" fontId="8" fillId="0" borderId="1" xfId="0" applyNumberFormat="1" applyFont="1" applyBorder="1"/>
    <xf numFmtId="2" fontId="0" fillId="19" borderId="2" xfId="0" applyNumberFormat="1" applyFill="1" applyBorder="1" applyAlignment="1">
      <alignment horizontal="center"/>
    </xf>
    <xf numFmtId="2" fontId="0" fillId="19" borderId="58" xfId="0" applyNumberFormat="1" applyFill="1" applyBorder="1" applyAlignment="1">
      <alignment horizontal="center"/>
    </xf>
    <xf numFmtId="0" fontId="13" fillId="5" borderId="46" xfId="0" applyFont="1" applyFill="1" applyBorder="1" applyAlignment="1">
      <alignment vertical="center"/>
    </xf>
    <xf numFmtId="0" fontId="13" fillId="5" borderId="6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43" fontId="17" fillId="0" borderId="1" xfId="0" applyNumberFormat="1" applyFont="1" applyBorder="1"/>
    <xf numFmtId="2" fontId="17" fillId="0" borderId="1" xfId="0" applyNumberFormat="1" applyFont="1" applyBorder="1"/>
    <xf numFmtId="43" fontId="17" fillId="0" borderId="0" xfId="0" applyNumberFormat="1" applyFont="1"/>
    <xf numFmtId="2" fontId="17" fillId="0" borderId="0" xfId="0" applyNumberFormat="1" applyFont="1"/>
    <xf numFmtId="0" fontId="0" fillId="2" borderId="15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64" fontId="15" fillId="2" borderId="47" xfId="1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vertical="center"/>
    </xf>
    <xf numFmtId="0" fontId="12" fillId="0" borderId="34" xfId="0" applyFont="1" applyBorder="1" applyAlignment="1">
      <alignment vertical="center" wrapText="1"/>
    </xf>
    <xf numFmtId="2" fontId="0" fillId="2" borderId="18" xfId="0" applyNumberFormat="1" applyFill="1" applyBorder="1" applyAlignment="1">
      <alignment horizontal="center"/>
    </xf>
    <xf numFmtId="39" fontId="4" fillId="2" borderId="18" xfId="1" applyNumberFormat="1" applyFont="1" applyFill="1" applyBorder="1" applyAlignment="1">
      <alignment horizontal="center"/>
    </xf>
    <xf numFmtId="164" fontId="4" fillId="2" borderId="51" xfId="1" applyFont="1" applyFill="1" applyBorder="1" applyAlignment="1">
      <alignment horizontal="center"/>
    </xf>
    <xf numFmtId="164" fontId="0" fillId="2" borderId="51" xfId="1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2" fontId="0" fillId="19" borderId="16" xfId="0" applyNumberFormat="1" applyFill="1" applyBorder="1" applyAlignment="1">
      <alignment horizontal="center"/>
    </xf>
    <xf numFmtId="164" fontId="15" fillId="2" borderId="46" xfId="1" applyFont="1" applyFill="1" applyBorder="1" applyAlignment="1">
      <alignment horizontal="center" vertical="center"/>
    </xf>
    <xf numFmtId="0" fontId="12" fillId="9" borderId="35" xfId="0" applyFont="1" applyFill="1" applyBorder="1" applyAlignment="1">
      <alignment horizontal="center" vertical="center" wrapText="1"/>
    </xf>
    <xf numFmtId="164" fontId="15" fillId="20" borderId="35" xfId="1" applyFont="1" applyFill="1" applyBorder="1" applyAlignment="1">
      <alignment horizontal="center" vertical="center"/>
    </xf>
    <xf numFmtId="0" fontId="12" fillId="7" borderId="69" xfId="0" applyFont="1" applyFill="1" applyBorder="1" applyAlignment="1">
      <alignment horizontal="center" vertical="center"/>
    </xf>
    <xf numFmtId="2" fontId="0" fillId="2" borderId="23" xfId="0" applyNumberFormat="1" applyFill="1" applyBorder="1" applyAlignment="1">
      <alignment horizontal="center"/>
    </xf>
    <xf numFmtId="164" fontId="15" fillId="2" borderId="70" xfId="1" applyFont="1" applyFill="1" applyBorder="1" applyAlignment="1">
      <alignment horizontal="center" vertical="center"/>
    </xf>
    <xf numFmtId="0" fontId="12" fillId="7" borderId="69" xfId="0" applyFont="1" applyFill="1" applyBorder="1" applyAlignment="1">
      <alignment horizontal="center" vertical="center" wrapText="1"/>
    </xf>
    <xf numFmtId="0" fontId="12" fillId="7" borderId="71" xfId="0" applyFont="1" applyFill="1" applyBorder="1" applyAlignment="1">
      <alignment horizontal="center" vertical="center"/>
    </xf>
    <xf numFmtId="0" fontId="12" fillId="7" borderId="72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43" fontId="0" fillId="0" borderId="13" xfId="0" applyNumberFormat="1" applyBorder="1"/>
    <xf numFmtId="2" fontId="0" fillId="19" borderId="15" xfId="0" applyNumberFormat="1" applyFill="1" applyBorder="1" applyAlignment="1">
      <alignment horizontal="center"/>
    </xf>
    <xf numFmtId="0" fontId="12" fillId="7" borderId="73" xfId="0" applyFont="1" applyFill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19" borderId="68" xfId="0" applyNumberFormat="1" applyFill="1" applyBorder="1" applyAlignment="1">
      <alignment horizontal="center"/>
    </xf>
    <xf numFmtId="43" fontId="16" fillId="0" borderId="1" xfId="0" applyNumberFormat="1" applyFont="1" applyBorder="1"/>
    <xf numFmtId="0" fontId="17" fillId="0" borderId="2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1" fillId="16" borderId="5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24" xfId="0" applyFont="1" applyFill="1" applyBorder="1" applyAlignment="1">
      <alignment horizontal="center"/>
    </xf>
    <xf numFmtId="0" fontId="13" fillId="16" borderId="5" xfId="0" applyFont="1" applyFill="1" applyBorder="1" applyAlignment="1">
      <alignment horizontal="center" vertical="center"/>
    </xf>
    <xf numFmtId="0" fontId="13" fillId="16" borderId="6" xfId="0" applyFont="1" applyFill="1" applyBorder="1" applyAlignment="1">
      <alignment horizontal="center" vertical="center"/>
    </xf>
    <xf numFmtId="0" fontId="13" fillId="16" borderId="45" xfId="0" applyFont="1" applyFill="1" applyBorder="1" applyAlignment="1">
      <alignment horizontal="center" vertical="center"/>
    </xf>
    <xf numFmtId="0" fontId="14" fillId="9" borderId="4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9" borderId="24" xfId="0" applyFont="1" applyFill="1" applyBorder="1" applyAlignment="1">
      <alignment horizontal="center" vertical="center"/>
    </xf>
    <xf numFmtId="0" fontId="14" fillId="9" borderId="45" xfId="0" applyFont="1" applyFill="1" applyBorder="1" applyAlignment="1">
      <alignment horizontal="center" vertical="center"/>
    </xf>
    <xf numFmtId="0" fontId="13" fillId="5" borderId="61" xfId="0" applyFont="1" applyFill="1" applyBorder="1" applyAlignment="1">
      <alignment horizontal="center" vertical="center"/>
    </xf>
    <xf numFmtId="0" fontId="13" fillId="18" borderId="46" xfId="0" applyFont="1" applyFill="1" applyBorder="1" applyAlignment="1">
      <alignment horizontal="center" vertical="center"/>
    </xf>
    <xf numFmtId="0" fontId="13" fillId="18" borderId="6" xfId="0" applyFont="1" applyFill="1" applyBorder="1" applyAlignment="1">
      <alignment horizontal="center" vertical="center"/>
    </xf>
    <xf numFmtId="0" fontId="13" fillId="18" borderId="4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1" fillId="0" borderId="2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1" fillId="6" borderId="43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/>
    </xf>
    <xf numFmtId="0" fontId="3" fillId="8" borderId="30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11" borderId="2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/>
    </xf>
    <xf numFmtId="17" fontId="1" fillId="4" borderId="39" xfId="0" applyNumberFormat="1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7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3" fillId="5" borderId="4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4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4DE2-4212-4818-9025-92BBA8D2FECB}">
  <sheetPr>
    <pageSetUpPr fitToPage="1"/>
  </sheetPr>
  <dimension ref="A1:Z38"/>
  <sheetViews>
    <sheetView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P37" sqref="P37"/>
    </sheetView>
  </sheetViews>
  <sheetFormatPr defaultRowHeight="15" x14ac:dyDescent="0.25"/>
  <cols>
    <col min="2" max="2" width="9.28515625" bestFit="1" customWidth="1"/>
    <col min="3" max="3" width="4.7109375" bestFit="1" customWidth="1"/>
    <col min="4" max="4" width="6.140625" bestFit="1" customWidth="1"/>
    <col min="5" max="5" width="8" bestFit="1" customWidth="1"/>
    <col min="7" max="7" width="5.85546875" customWidth="1"/>
    <col min="8" max="8" width="5.85546875" bestFit="1" customWidth="1"/>
    <col min="9" max="9" width="9.28515625" customWidth="1"/>
    <col min="10" max="10" width="6.42578125" bestFit="1" customWidth="1"/>
    <col min="11" max="11" width="9.28515625" customWidth="1"/>
    <col min="12" max="12" width="8.140625" style="2" bestFit="1" customWidth="1"/>
    <col min="13" max="13" width="10.42578125" style="2" bestFit="1" customWidth="1"/>
    <col min="14" max="14" width="10.7109375" style="2" customWidth="1"/>
    <col min="15" max="15" width="8.42578125" customWidth="1"/>
    <col min="17" max="17" width="5.5703125" bestFit="1" customWidth="1"/>
    <col min="19" max="19" width="7.5703125" customWidth="1"/>
    <col min="20" max="20" width="12" bestFit="1" customWidth="1"/>
    <col min="21" max="22" width="12.28515625" customWidth="1"/>
    <col min="23" max="25" width="9.5703125" customWidth="1"/>
  </cols>
  <sheetData>
    <row r="1" spans="1:26" ht="18" customHeight="1" x14ac:dyDescent="0.35">
      <c r="A1" s="329" t="s">
        <v>8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</row>
    <row r="2" spans="1:26" ht="18" customHeight="1" x14ac:dyDescent="0.35">
      <c r="A2" s="329" t="s">
        <v>11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</row>
    <row r="3" spans="1:26" ht="18" customHeight="1" thickBot="1" x14ac:dyDescent="0.4">
      <c r="A3" s="329" t="s">
        <v>23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</row>
    <row r="4" spans="1:26" ht="15" customHeight="1" thickBot="1" x14ac:dyDescent="0.35">
      <c r="A4" s="3"/>
      <c r="B4" s="326" t="s">
        <v>10</v>
      </c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8"/>
      <c r="O4" s="331" t="s">
        <v>17</v>
      </c>
      <c r="P4" s="332"/>
      <c r="Q4" s="332"/>
      <c r="R4" s="333"/>
      <c r="S4" s="334" t="s">
        <v>18</v>
      </c>
      <c r="T4" s="335"/>
      <c r="U4" s="335"/>
      <c r="V4" s="336"/>
      <c r="W4" s="323" t="s">
        <v>19</v>
      </c>
      <c r="X4" s="324"/>
      <c r="Y4" s="324"/>
      <c r="Z4" s="325"/>
    </row>
    <row r="5" spans="1:26" ht="28.5" customHeight="1" x14ac:dyDescent="0.25">
      <c r="A5" s="9" t="s">
        <v>1</v>
      </c>
      <c r="B5" s="10" t="s">
        <v>2</v>
      </c>
      <c r="C5" s="11" t="s">
        <v>14</v>
      </c>
      <c r="D5" s="10" t="s">
        <v>3</v>
      </c>
      <c r="E5" s="11" t="s">
        <v>14</v>
      </c>
      <c r="F5" s="10" t="s">
        <v>4</v>
      </c>
      <c r="G5" s="12" t="s">
        <v>14</v>
      </c>
      <c r="H5" s="13" t="s">
        <v>9</v>
      </c>
      <c r="I5" s="14" t="s">
        <v>14</v>
      </c>
      <c r="J5" s="13" t="s">
        <v>12</v>
      </c>
      <c r="K5" s="13" t="s">
        <v>14</v>
      </c>
      <c r="L5" s="15" t="s">
        <v>13</v>
      </c>
      <c r="M5" s="16" t="s">
        <v>0</v>
      </c>
      <c r="N5" s="17" t="s">
        <v>20</v>
      </c>
      <c r="O5" s="18" t="s">
        <v>21</v>
      </c>
      <c r="P5" s="15" t="s">
        <v>15</v>
      </c>
      <c r="Q5" s="10" t="s">
        <v>6</v>
      </c>
      <c r="R5" s="19" t="s">
        <v>16</v>
      </c>
      <c r="S5" s="18" t="s">
        <v>5</v>
      </c>
      <c r="T5" s="20" t="s">
        <v>22</v>
      </c>
      <c r="U5" s="21" t="s">
        <v>6</v>
      </c>
      <c r="V5" s="22" t="s">
        <v>16</v>
      </c>
      <c r="W5" s="23" t="s">
        <v>19</v>
      </c>
      <c r="X5" s="24" t="s">
        <v>14</v>
      </c>
      <c r="Y5" s="23" t="s">
        <v>6</v>
      </c>
      <c r="Z5" s="24" t="s">
        <v>16</v>
      </c>
    </row>
    <row r="6" spans="1:26" ht="15" customHeight="1" x14ac:dyDescent="0.25">
      <c r="A6" s="25">
        <v>1</v>
      </c>
      <c r="B6" s="26"/>
      <c r="C6" s="27">
        <f>38.82*B6</f>
        <v>0</v>
      </c>
      <c r="D6" s="26"/>
      <c r="E6" s="27">
        <f>77.64*D6</f>
        <v>0</v>
      </c>
      <c r="F6" s="26"/>
      <c r="G6" s="27">
        <f t="shared" ref="G6:G7" si="0">77.64*F6</f>
        <v>0</v>
      </c>
      <c r="H6" s="26">
        <v>1</v>
      </c>
      <c r="I6" s="27">
        <f t="shared" ref="I6:I7" si="1">42*H6</f>
        <v>42</v>
      </c>
      <c r="J6" s="26">
        <v>1</v>
      </c>
      <c r="K6" s="26">
        <f>38*J6</f>
        <v>38</v>
      </c>
      <c r="L6" s="27">
        <f>+K6+I6+G6+E6+C6</f>
        <v>80</v>
      </c>
      <c r="M6" s="26"/>
      <c r="N6" s="28">
        <f>+M6/L6*100</f>
        <v>0</v>
      </c>
      <c r="O6" s="29">
        <v>1</v>
      </c>
      <c r="P6" s="27">
        <f>14.41*O6</f>
        <v>14.41</v>
      </c>
      <c r="Q6" s="26"/>
      <c r="R6" s="30">
        <f>+Q6/P6*100</f>
        <v>0</v>
      </c>
      <c r="S6" s="29">
        <v>1</v>
      </c>
      <c r="T6" s="31">
        <f>28*S6</f>
        <v>28</v>
      </c>
      <c r="U6" s="32"/>
      <c r="V6" s="33">
        <f>+U6/T6*100</f>
        <v>0</v>
      </c>
      <c r="W6" s="26"/>
      <c r="X6" s="27">
        <f>78*W6</f>
        <v>0</v>
      </c>
      <c r="Y6" s="26"/>
      <c r="Z6" s="27" t="e">
        <f>+Y6/X6*100</f>
        <v>#DIV/0!</v>
      </c>
    </row>
    <row r="7" spans="1:26" ht="15" customHeight="1" x14ac:dyDescent="0.25">
      <c r="A7" s="25">
        <v>2</v>
      </c>
      <c r="B7" s="26"/>
      <c r="C7" s="27">
        <f t="shared" ref="C7:C36" si="2">38.82*B7</f>
        <v>0</v>
      </c>
      <c r="D7" s="26"/>
      <c r="E7" s="27">
        <f t="shared" ref="E7:E36" si="3">77.64*D7</f>
        <v>0</v>
      </c>
      <c r="F7" s="26"/>
      <c r="G7" s="27">
        <f t="shared" si="0"/>
        <v>0</v>
      </c>
      <c r="H7" s="26"/>
      <c r="I7" s="27">
        <f t="shared" si="1"/>
        <v>0</v>
      </c>
      <c r="J7" s="26"/>
      <c r="K7" s="26">
        <f t="shared" ref="K7:K36" si="4">38*J7</f>
        <v>0</v>
      </c>
      <c r="L7" s="27">
        <f>+K7+I7+G7+E7+C7</f>
        <v>0</v>
      </c>
      <c r="M7" s="26"/>
      <c r="N7" s="28" t="e">
        <f t="shared" ref="N7:N36" si="5">+M7/L7*100</f>
        <v>#DIV/0!</v>
      </c>
      <c r="O7" s="29"/>
      <c r="P7" s="27">
        <f t="shared" ref="P7:P36" si="6">14.41*O7</f>
        <v>0</v>
      </c>
      <c r="Q7" s="26"/>
      <c r="R7" s="30" t="e">
        <f t="shared" ref="R7:R36" si="7">+Q7/P7*100</f>
        <v>#DIV/0!</v>
      </c>
      <c r="S7" s="29"/>
      <c r="T7" s="31">
        <f t="shared" ref="T7:T36" si="8">28*S7</f>
        <v>0</v>
      </c>
      <c r="U7" s="32"/>
      <c r="V7" s="33" t="e">
        <f t="shared" ref="V7:V36" si="9">+U7/T7*100</f>
        <v>#DIV/0!</v>
      </c>
      <c r="W7" s="26"/>
      <c r="X7" s="27">
        <f t="shared" ref="X7:X36" si="10">78*W7</f>
        <v>0</v>
      </c>
      <c r="Y7" s="26"/>
      <c r="Z7" s="27" t="e">
        <f t="shared" ref="Z7:Z36" si="11">+Y7/X7*100</f>
        <v>#DIV/0!</v>
      </c>
    </row>
    <row r="8" spans="1:26" ht="15" customHeight="1" x14ac:dyDescent="0.25">
      <c r="A8" s="25">
        <v>3</v>
      </c>
      <c r="B8" s="26"/>
      <c r="C8" s="27">
        <f t="shared" si="2"/>
        <v>0</v>
      </c>
      <c r="D8" s="26"/>
      <c r="E8" s="27">
        <f t="shared" si="3"/>
        <v>0</v>
      </c>
      <c r="F8" s="26"/>
      <c r="G8" s="27">
        <f>77.64*F8</f>
        <v>0</v>
      </c>
      <c r="H8" s="26"/>
      <c r="I8" s="27">
        <f>42*H8</f>
        <v>0</v>
      </c>
      <c r="J8" s="26"/>
      <c r="K8" s="26">
        <f t="shared" si="4"/>
        <v>0</v>
      </c>
      <c r="L8" s="27">
        <f t="shared" ref="L8:L36" si="12">+K8+I8+G8+E8+C8</f>
        <v>0</v>
      </c>
      <c r="M8" s="26"/>
      <c r="N8" s="28" t="e">
        <f t="shared" si="5"/>
        <v>#DIV/0!</v>
      </c>
      <c r="O8" s="29"/>
      <c r="P8" s="27">
        <f t="shared" si="6"/>
        <v>0</v>
      </c>
      <c r="Q8" s="26"/>
      <c r="R8" s="30" t="e">
        <f t="shared" si="7"/>
        <v>#DIV/0!</v>
      </c>
      <c r="S8" s="29"/>
      <c r="T8" s="31">
        <f t="shared" si="8"/>
        <v>0</v>
      </c>
      <c r="U8" s="32"/>
      <c r="V8" s="33" t="e">
        <f t="shared" si="9"/>
        <v>#DIV/0!</v>
      </c>
      <c r="W8" s="26"/>
      <c r="X8" s="27">
        <f t="shared" si="10"/>
        <v>0</v>
      </c>
      <c r="Y8" s="26"/>
      <c r="Z8" s="27" t="e">
        <f t="shared" si="11"/>
        <v>#DIV/0!</v>
      </c>
    </row>
    <row r="9" spans="1:26" ht="15" customHeight="1" x14ac:dyDescent="0.25">
      <c r="A9" s="25">
        <v>4</v>
      </c>
      <c r="B9" s="26"/>
      <c r="C9" s="27">
        <f t="shared" si="2"/>
        <v>0</v>
      </c>
      <c r="D9" s="26"/>
      <c r="E9" s="27">
        <f t="shared" si="3"/>
        <v>0</v>
      </c>
      <c r="F9" s="26"/>
      <c r="G9" s="27">
        <f t="shared" ref="G9:G36" si="13">77.64*F9</f>
        <v>0</v>
      </c>
      <c r="H9" s="26"/>
      <c r="I9" s="27">
        <f t="shared" ref="I9:I36" si="14">42*H9</f>
        <v>0</v>
      </c>
      <c r="J9" s="26"/>
      <c r="K9" s="26">
        <f t="shared" si="4"/>
        <v>0</v>
      </c>
      <c r="L9" s="27">
        <f t="shared" si="12"/>
        <v>0</v>
      </c>
      <c r="M9" s="26"/>
      <c r="N9" s="28" t="e">
        <f t="shared" si="5"/>
        <v>#DIV/0!</v>
      </c>
      <c r="O9" s="29"/>
      <c r="P9" s="27">
        <f t="shared" si="6"/>
        <v>0</v>
      </c>
      <c r="Q9" s="26"/>
      <c r="R9" s="30" t="e">
        <f t="shared" si="7"/>
        <v>#DIV/0!</v>
      </c>
      <c r="S9" s="29"/>
      <c r="T9" s="31">
        <f t="shared" si="8"/>
        <v>0</v>
      </c>
      <c r="U9" s="32"/>
      <c r="V9" s="33" t="e">
        <f t="shared" si="9"/>
        <v>#DIV/0!</v>
      </c>
      <c r="W9" s="26"/>
      <c r="X9" s="27">
        <f t="shared" si="10"/>
        <v>0</v>
      </c>
      <c r="Y9" s="26"/>
      <c r="Z9" s="27" t="e">
        <f t="shared" si="11"/>
        <v>#DIV/0!</v>
      </c>
    </row>
    <row r="10" spans="1:26" ht="15" customHeight="1" x14ac:dyDescent="0.25">
      <c r="A10" s="34">
        <v>5</v>
      </c>
      <c r="B10" s="26"/>
      <c r="C10" s="27">
        <f t="shared" si="2"/>
        <v>0</v>
      </c>
      <c r="D10" s="26"/>
      <c r="E10" s="27">
        <f t="shared" si="3"/>
        <v>0</v>
      </c>
      <c r="F10" s="26"/>
      <c r="G10" s="27">
        <f t="shared" si="13"/>
        <v>0</v>
      </c>
      <c r="H10" s="26"/>
      <c r="I10" s="27">
        <f t="shared" si="14"/>
        <v>0</v>
      </c>
      <c r="J10" s="26"/>
      <c r="K10" s="26">
        <f t="shared" si="4"/>
        <v>0</v>
      </c>
      <c r="L10" s="27">
        <f t="shared" si="12"/>
        <v>0</v>
      </c>
      <c r="M10" s="26"/>
      <c r="N10" s="28" t="e">
        <f t="shared" si="5"/>
        <v>#DIV/0!</v>
      </c>
      <c r="O10" s="29"/>
      <c r="P10" s="27">
        <f t="shared" si="6"/>
        <v>0</v>
      </c>
      <c r="Q10" s="26"/>
      <c r="R10" s="30" t="e">
        <f t="shared" si="7"/>
        <v>#DIV/0!</v>
      </c>
      <c r="S10" s="29"/>
      <c r="T10" s="31">
        <f t="shared" si="8"/>
        <v>0</v>
      </c>
      <c r="U10" s="32"/>
      <c r="V10" s="33" t="e">
        <f t="shared" si="9"/>
        <v>#DIV/0!</v>
      </c>
      <c r="W10" s="26"/>
      <c r="X10" s="27">
        <f t="shared" si="10"/>
        <v>0</v>
      </c>
      <c r="Y10" s="26"/>
      <c r="Z10" s="27" t="e">
        <f t="shared" si="11"/>
        <v>#DIV/0!</v>
      </c>
    </row>
    <row r="11" spans="1:26" ht="15" customHeight="1" x14ac:dyDescent="0.25">
      <c r="A11" s="25">
        <v>0</v>
      </c>
      <c r="B11" s="26"/>
      <c r="C11" s="27">
        <f t="shared" si="2"/>
        <v>0</v>
      </c>
      <c r="D11" s="26"/>
      <c r="E11" s="27">
        <f t="shared" si="3"/>
        <v>0</v>
      </c>
      <c r="F11" s="26"/>
      <c r="G11" s="27">
        <f t="shared" si="13"/>
        <v>0</v>
      </c>
      <c r="H11" s="26"/>
      <c r="I11" s="27">
        <f t="shared" si="14"/>
        <v>0</v>
      </c>
      <c r="J11" s="26"/>
      <c r="K11" s="26">
        <f t="shared" si="4"/>
        <v>0</v>
      </c>
      <c r="L11" s="27">
        <f t="shared" si="12"/>
        <v>0</v>
      </c>
      <c r="M11" s="26"/>
      <c r="N11" s="28" t="e">
        <f t="shared" si="5"/>
        <v>#DIV/0!</v>
      </c>
      <c r="O11" s="29"/>
      <c r="P11" s="27">
        <f t="shared" si="6"/>
        <v>0</v>
      </c>
      <c r="Q11" s="26"/>
      <c r="R11" s="30" t="e">
        <f t="shared" si="7"/>
        <v>#DIV/0!</v>
      </c>
      <c r="S11" s="29"/>
      <c r="T11" s="31">
        <f t="shared" si="8"/>
        <v>0</v>
      </c>
      <c r="U11" s="32"/>
      <c r="V11" s="33" t="e">
        <f t="shared" si="9"/>
        <v>#DIV/0!</v>
      </c>
      <c r="W11" s="26"/>
      <c r="X11" s="27">
        <f t="shared" si="10"/>
        <v>0</v>
      </c>
      <c r="Y11" s="26"/>
      <c r="Z11" s="27" t="e">
        <f t="shared" si="11"/>
        <v>#DIV/0!</v>
      </c>
    </row>
    <row r="12" spans="1:26" ht="15" customHeight="1" x14ac:dyDescent="0.25">
      <c r="A12" s="25">
        <v>7</v>
      </c>
      <c r="B12" s="26"/>
      <c r="C12" s="27">
        <f t="shared" si="2"/>
        <v>0</v>
      </c>
      <c r="D12" s="26"/>
      <c r="E12" s="27">
        <f t="shared" si="3"/>
        <v>0</v>
      </c>
      <c r="F12" s="26"/>
      <c r="G12" s="27">
        <f t="shared" si="13"/>
        <v>0</v>
      </c>
      <c r="H12" s="26"/>
      <c r="I12" s="27">
        <f t="shared" si="14"/>
        <v>0</v>
      </c>
      <c r="J12" s="26"/>
      <c r="K12" s="26">
        <f t="shared" si="4"/>
        <v>0</v>
      </c>
      <c r="L12" s="27">
        <f t="shared" si="12"/>
        <v>0</v>
      </c>
      <c r="M12" s="26"/>
      <c r="N12" s="28" t="e">
        <f t="shared" si="5"/>
        <v>#DIV/0!</v>
      </c>
      <c r="O12" s="29"/>
      <c r="P12" s="27">
        <f t="shared" si="6"/>
        <v>0</v>
      </c>
      <c r="Q12" s="26"/>
      <c r="R12" s="30" t="e">
        <f t="shared" si="7"/>
        <v>#DIV/0!</v>
      </c>
      <c r="S12" s="29"/>
      <c r="T12" s="31">
        <f t="shared" si="8"/>
        <v>0</v>
      </c>
      <c r="U12" s="32"/>
      <c r="V12" s="33" t="e">
        <f t="shared" si="9"/>
        <v>#DIV/0!</v>
      </c>
      <c r="W12" s="26"/>
      <c r="X12" s="27">
        <f t="shared" si="10"/>
        <v>0</v>
      </c>
      <c r="Y12" s="26"/>
      <c r="Z12" s="27" t="e">
        <f t="shared" si="11"/>
        <v>#DIV/0!</v>
      </c>
    </row>
    <row r="13" spans="1:26" ht="15" customHeight="1" x14ac:dyDescent="0.25">
      <c r="A13" s="25">
        <v>8</v>
      </c>
      <c r="B13" s="26"/>
      <c r="C13" s="27">
        <f t="shared" si="2"/>
        <v>0</v>
      </c>
      <c r="D13" s="26"/>
      <c r="E13" s="27">
        <f t="shared" si="3"/>
        <v>0</v>
      </c>
      <c r="F13" s="26"/>
      <c r="G13" s="27">
        <f t="shared" si="13"/>
        <v>0</v>
      </c>
      <c r="H13" s="26"/>
      <c r="I13" s="27">
        <f t="shared" si="14"/>
        <v>0</v>
      </c>
      <c r="J13" s="26"/>
      <c r="K13" s="26">
        <f t="shared" si="4"/>
        <v>0</v>
      </c>
      <c r="L13" s="27">
        <f t="shared" si="12"/>
        <v>0</v>
      </c>
      <c r="M13" s="26"/>
      <c r="N13" s="28" t="e">
        <f t="shared" si="5"/>
        <v>#DIV/0!</v>
      </c>
      <c r="O13" s="29"/>
      <c r="P13" s="27">
        <f t="shared" si="6"/>
        <v>0</v>
      </c>
      <c r="Q13" s="26"/>
      <c r="R13" s="30" t="e">
        <f t="shared" si="7"/>
        <v>#DIV/0!</v>
      </c>
      <c r="S13" s="29"/>
      <c r="T13" s="31">
        <f t="shared" si="8"/>
        <v>0</v>
      </c>
      <c r="U13" s="32"/>
      <c r="V13" s="33" t="e">
        <f t="shared" si="9"/>
        <v>#DIV/0!</v>
      </c>
      <c r="W13" s="26"/>
      <c r="X13" s="27">
        <f t="shared" si="10"/>
        <v>0</v>
      </c>
      <c r="Y13" s="26"/>
      <c r="Z13" s="27" t="e">
        <f t="shared" si="11"/>
        <v>#DIV/0!</v>
      </c>
    </row>
    <row r="14" spans="1:26" ht="15" customHeight="1" x14ac:dyDescent="0.25">
      <c r="A14" s="25">
        <v>9</v>
      </c>
      <c r="B14" s="26"/>
      <c r="C14" s="27">
        <f t="shared" si="2"/>
        <v>0</v>
      </c>
      <c r="D14" s="26"/>
      <c r="E14" s="27">
        <f t="shared" si="3"/>
        <v>0</v>
      </c>
      <c r="F14" s="26"/>
      <c r="G14" s="27">
        <f t="shared" si="13"/>
        <v>0</v>
      </c>
      <c r="H14" s="26"/>
      <c r="I14" s="27">
        <f t="shared" si="14"/>
        <v>0</v>
      </c>
      <c r="J14" s="26"/>
      <c r="K14" s="26">
        <f t="shared" si="4"/>
        <v>0</v>
      </c>
      <c r="L14" s="27">
        <f t="shared" si="12"/>
        <v>0</v>
      </c>
      <c r="M14" s="26"/>
      <c r="N14" s="28" t="e">
        <f t="shared" si="5"/>
        <v>#DIV/0!</v>
      </c>
      <c r="O14" s="29"/>
      <c r="P14" s="27">
        <f t="shared" si="6"/>
        <v>0</v>
      </c>
      <c r="Q14" s="26"/>
      <c r="R14" s="30" t="e">
        <f t="shared" si="7"/>
        <v>#DIV/0!</v>
      </c>
      <c r="S14" s="29"/>
      <c r="T14" s="31">
        <f t="shared" si="8"/>
        <v>0</v>
      </c>
      <c r="U14" s="32"/>
      <c r="V14" s="33" t="e">
        <f t="shared" si="9"/>
        <v>#DIV/0!</v>
      </c>
      <c r="W14" s="26"/>
      <c r="X14" s="27">
        <f t="shared" si="10"/>
        <v>0</v>
      </c>
      <c r="Y14" s="26"/>
      <c r="Z14" s="27" t="e">
        <f t="shared" si="11"/>
        <v>#DIV/0!</v>
      </c>
    </row>
    <row r="15" spans="1:26" ht="15" customHeight="1" x14ac:dyDescent="0.25">
      <c r="A15" s="25">
        <v>10</v>
      </c>
      <c r="B15" s="26"/>
      <c r="C15" s="27">
        <f t="shared" si="2"/>
        <v>0</v>
      </c>
      <c r="D15" s="26"/>
      <c r="E15" s="27">
        <f t="shared" si="3"/>
        <v>0</v>
      </c>
      <c r="F15" s="26"/>
      <c r="G15" s="27">
        <f t="shared" si="13"/>
        <v>0</v>
      </c>
      <c r="H15" s="26"/>
      <c r="I15" s="27">
        <f t="shared" si="14"/>
        <v>0</v>
      </c>
      <c r="J15" s="26"/>
      <c r="K15" s="26">
        <f t="shared" si="4"/>
        <v>0</v>
      </c>
      <c r="L15" s="27">
        <f t="shared" si="12"/>
        <v>0</v>
      </c>
      <c r="M15" s="26"/>
      <c r="N15" s="28" t="e">
        <f t="shared" si="5"/>
        <v>#DIV/0!</v>
      </c>
      <c r="O15" s="29"/>
      <c r="P15" s="27">
        <f t="shared" si="6"/>
        <v>0</v>
      </c>
      <c r="Q15" s="26"/>
      <c r="R15" s="30" t="e">
        <f t="shared" si="7"/>
        <v>#DIV/0!</v>
      </c>
      <c r="S15" s="29"/>
      <c r="T15" s="31">
        <f t="shared" si="8"/>
        <v>0</v>
      </c>
      <c r="U15" s="32"/>
      <c r="V15" s="33" t="e">
        <f t="shared" si="9"/>
        <v>#DIV/0!</v>
      </c>
      <c r="W15" s="26"/>
      <c r="X15" s="27">
        <f t="shared" si="10"/>
        <v>0</v>
      </c>
      <c r="Y15" s="26"/>
      <c r="Z15" s="27" t="e">
        <f t="shared" si="11"/>
        <v>#DIV/0!</v>
      </c>
    </row>
    <row r="16" spans="1:26" ht="15" customHeight="1" x14ac:dyDescent="0.25">
      <c r="A16" s="25">
        <v>11</v>
      </c>
      <c r="B16" s="26"/>
      <c r="C16" s="27">
        <f t="shared" si="2"/>
        <v>0</v>
      </c>
      <c r="D16" s="26"/>
      <c r="E16" s="27">
        <f t="shared" si="3"/>
        <v>0</v>
      </c>
      <c r="F16" s="26"/>
      <c r="G16" s="27">
        <f t="shared" si="13"/>
        <v>0</v>
      </c>
      <c r="H16" s="26"/>
      <c r="I16" s="27">
        <f t="shared" si="14"/>
        <v>0</v>
      </c>
      <c r="J16" s="26"/>
      <c r="K16" s="26">
        <f t="shared" si="4"/>
        <v>0</v>
      </c>
      <c r="L16" s="27">
        <f t="shared" si="12"/>
        <v>0</v>
      </c>
      <c r="M16" s="26"/>
      <c r="N16" s="28" t="e">
        <f t="shared" si="5"/>
        <v>#DIV/0!</v>
      </c>
      <c r="O16" s="29"/>
      <c r="P16" s="27">
        <f t="shared" si="6"/>
        <v>0</v>
      </c>
      <c r="Q16" s="26"/>
      <c r="R16" s="30" t="e">
        <f t="shared" si="7"/>
        <v>#DIV/0!</v>
      </c>
      <c r="S16" s="29"/>
      <c r="T16" s="31">
        <f t="shared" si="8"/>
        <v>0</v>
      </c>
      <c r="U16" s="32"/>
      <c r="V16" s="33" t="e">
        <f t="shared" si="9"/>
        <v>#DIV/0!</v>
      </c>
      <c r="W16" s="26"/>
      <c r="X16" s="27">
        <f t="shared" si="10"/>
        <v>0</v>
      </c>
      <c r="Y16" s="26"/>
      <c r="Z16" s="27" t="e">
        <f t="shared" si="11"/>
        <v>#DIV/0!</v>
      </c>
    </row>
    <row r="17" spans="1:26" ht="15" customHeight="1" x14ac:dyDescent="0.25">
      <c r="A17" s="34">
        <v>12</v>
      </c>
      <c r="B17" s="26"/>
      <c r="C17" s="27">
        <f t="shared" si="2"/>
        <v>0</v>
      </c>
      <c r="D17" s="26"/>
      <c r="E17" s="27">
        <f t="shared" si="3"/>
        <v>0</v>
      </c>
      <c r="F17" s="26"/>
      <c r="G17" s="27">
        <f t="shared" si="13"/>
        <v>0</v>
      </c>
      <c r="H17" s="26"/>
      <c r="I17" s="27">
        <f t="shared" si="14"/>
        <v>0</v>
      </c>
      <c r="J17" s="26"/>
      <c r="K17" s="26">
        <f t="shared" si="4"/>
        <v>0</v>
      </c>
      <c r="L17" s="27">
        <f t="shared" si="12"/>
        <v>0</v>
      </c>
      <c r="M17" s="26"/>
      <c r="N17" s="28" t="e">
        <f t="shared" si="5"/>
        <v>#DIV/0!</v>
      </c>
      <c r="O17" s="29"/>
      <c r="P17" s="27">
        <f t="shared" si="6"/>
        <v>0</v>
      </c>
      <c r="Q17" s="26"/>
      <c r="R17" s="30" t="e">
        <f t="shared" si="7"/>
        <v>#DIV/0!</v>
      </c>
      <c r="S17" s="29"/>
      <c r="T17" s="31">
        <f t="shared" si="8"/>
        <v>0</v>
      </c>
      <c r="U17" s="32"/>
      <c r="V17" s="33" t="e">
        <f t="shared" si="9"/>
        <v>#DIV/0!</v>
      </c>
      <c r="W17" s="26"/>
      <c r="X17" s="27">
        <f t="shared" si="10"/>
        <v>0</v>
      </c>
      <c r="Y17" s="26"/>
      <c r="Z17" s="27" t="e">
        <f t="shared" si="11"/>
        <v>#DIV/0!</v>
      </c>
    </row>
    <row r="18" spans="1:26" ht="15" customHeight="1" x14ac:dyDescent="0.25">
      <c r="A18" s="25">
        <v>13</v>
      </c>
      <c r="B18" s="26"/>
      <c r="C18" s="27">
        <f t="shared" si="2"/>
        <v>0</v>
      </c>
      <c r="D18" s="26"/>
      <c r="E18" s="27">
        <f t="shared" si="3"/>
        <v>0</v>
      </c>
      <c r="F18" s="26"/>
      <c r="G18" s="27">
        <f t="shared" si="13"/>
        <v>0</v>
      </c>
      <c r="H18" s="26"/>
      <c r="I18" s="27">
        <f t="shared" si="14"/>
        <v>0</v>
      </c>
      <c r="J18" s="26"/>
      <c r="K18" s="26">
        <f t="shared" si="4"/>
        <v>0</v>
      </c>
      <c r="L18" s="27">
        <f t="shared" si="12"/>
        <v>0</v>
      </c>
      <c r="M18" s="26"/>
      <c r="N18" s="28" t="e">
        <f t="shared" si="5"/>
        <v>#DIV/0!</v>
      </c>
      <c r="O18" s="29"/>
      <c r="P18" s="27">
        <f t="shared" si="6"/>
        <v>0</v>
      </c>
      <c r="Q18" s="26"/>
      <c r="R18" s="30" t="e">
        <f t="shared" si="7"/>
        <v>#DIV/0!</v>
      </c>
      <c r="S18" s="29"/>
      <c r="T18" s="31">
        <f t="shared" si="8"/>
        <v>0</v>
      </c>
      <c r="U18" s="32"/>
      <c r="V18" s="33" t="e">
        <f t="shared" si="9"/>
        <v>#DIV/0!</v>
      </c>
      <c r="W18" s="26"/>
      <c r="X18" s="27">
        <f t="shared" si="10"/>
        <v>0</v>
      </c>
      <c r="Y18" s="26"/>
      <c r="Z18" s="27" t="e">
        <f t="shared" si="11"/>
        <v>#DIV/0!</v>
      </c>
    </row>
    <row r="19" spans="1:26" ht="15" customHeight="1" x14ac:dyDescent="0.25">
      <c r="A19" s="25">
        <v>14</v>
      </c>
      <c r="B19" s="26"/>
      <c r="C19" s="27">
        <f t="shared" si="2"/>
        <v>0</v>
      </c>
      <c r="D19" s="26"/>
      <c r="E19" s="27">
        <f t="shared" si="3"/>
        <v>0</v>
      </c>
      <c r="F19" s="26"/>
      <c r="G19" s="27">
        <f t="shared" si="13"/>
        <v>0</v>
      </c>
      <c r="H19" s="26"/>
      <c r="I19" s="27">
        <f t="shared" si="14"/>
        <v>0</v>
      </c>
      <c r="J19" s="26"/>
      <c r="K19" s="26">
        <f t="shared" si="4"/>
        <v>0</v>
      </c>
      <c r="L19" s="27">
        <f t="shared" si="12"/>
        <v>0</v>
      </c>
      <c r="M19" s="26"/>
      <c r="N19" s="28" t="e">
        <f t="shared" si="5"/>
        <v>#DIV/0!</v>
      </c>
      <c r="O19" s="29"/>
      <c r="P19" s="27">
        <f t="shared" si="6"/>
        <v>0</v>
      </c>
      <c r="Q19" s="26"/>
      <c r="R19" s="30" t="e">
        <f t="shared" si="7"/>
        <v>#DIV/0!</v>
      </c>
      <c r="S19" s="29"/>
      <c r="T19" s="31">
        <f t="shared" si="8"/>
        <v>0</v>
      </c>
      <c r="U19" s="32"/>
      <c r="V19" s="33" t="e">
        <f t="shared" si="9"/>
        <v>#DIV/0!</v>
      </c>
      <c r="W19" s="26"/>
      <c r="X19" s="27">
        <f t="shared" si="10"/>
        <v>0</v>
      </c>
      <c r="Y19" s="26"/>
      <c r="Z19" s="27" t="e">
        <f t="shared" si="11"/>
        <v>#DIV/0!</v>
      </c>
    </row>
    <row r="20" spans="1:26" ht="15" customHeight="1" x14ac:dyDescent="0.25">
      <c r="A20" s="25">
        <v>15</v>
      </c>
      <c r="B20" s="26"/>
      <c r="C20" s="27">
        <f t="shared" si="2"/>
        <v>0</v>
      </c>
      <c r="D20" s="26"/>
      <c r="E20" s="27">
        <f t="shared" si="3"/>
        <v>0</v>
      </c>
      <c r="F20" s="26"/>
      <c r="G20" s="27">
        <f t="shared" si="13"/>
        <v>0</v>
      </c>
      <c r="H20" s="26"/>
      <c r="I20" s="27">
        <f t="shared" si="14"/>
        <v>0</v>
      </c>
      <c r="J20" s="26"/>
      <c r="K20" s="26">
        <f t="shared" si="4"/>
        <v>0</v>
      </c>
      <c r="L20" s="27">
        <f t="shared" si="12"/>
        <v>0</v>
      </c>
      <c r="M20" s="26"/>
      <c r="N20" s="28" t="e">
        <f t="shared" si="5"/>
        <v>#DIV/0!</v>
      </c>
      <c r="O20" s="29"/>
      <c r="P20" s="27">
        <f t="shared" si="6"/>
        <v>0</v>
      </c>
      <c r="Q20" s="26"/>
      <c r="R20" s="30" t="e">
        <f t="shared" si="7"/>
        <v>#DIV/0!</v>
      </c>
      <c r="S20" s="29"/>
      <c r="T20" s="31">
        <f t="shared" si="8"/>
        <v>0</v>
      </c>
      <c r="U20" s="32"/>
      <c r="V20" s="33" t="e">
        <f t="shared" si="9"/>
        <v>#DIV/0!</v>
      </c>
      <c r="W20" s="26"/>
      <c r="X20" s="27">
        <f t="shared" si="10"/>
        <v>0</v>
      </c>
      <c r="Y20" s="26"/>
      <c r="Z20" s="27" t="e">
        <f t="shared" si="11"/>
        <v>#DIV/0!</v>
      </c>
    </row>
    <row r="21" spans="1:26" ht="15" customHeight="1" x14ac:dyDescent="0.25">
      <c r="A21" s="25">
        <v>16</v>
      </c>
      <c r="B21" s="26"/>
      <c r="C21" s="27">
        <f t="shared" si="2"/>
        <v>0</v>
      </c>
      <c r="D21" s="26"/>
      <c r="E21" s="27">
        <f t="shared" si="3"/>
        <v>0</v>
      </c>
      <c r="F21" s="26"/>
      <c r="G21" s="27">
        <f t="shared" si="13"/>
        <v>0</v>
      </c>
      <c r="H21" s="26"/>
      <c r="I21" s="27">
        <f t="shared" si="14"/>
        <v>0</v>
      </c>
      <c r="J21" s="26"/>
      <c r="K21" s="26">
        <f t="shared" si="4"/>
        <v>0</v>
      </c>
      <c r="L21" s="27">
        <f t="shared" si="12"/>
        <v>0</v>
      </c>
      <c r="M21" s="26"/>
      <c r="N21" s="28" t="e">
        <f t="shared" si="5"/>
        <v>#DIV/0!</v>
      </c>
      <c r="O21" s="29"/>
      <c r="P21" s="27">
        <f t="shared" si="6"/>
        <v>0</v>
      </c>
      <c r="Q21" s="26"/>
      <c r="R21" s="30" t="e">
        <f t="shared" si="7"/>
        <v>#DIV/0!</v>
      </c>
      <c r="S21" s="29"/>
      <c r="T21" s="31">
        <f t="shared" si="8"/>
        <v>0</v>
      </c>
      <c r="U21" s="32"/>
      <c r="V21" s="33" t="e">
        <f t="shared" si="9"/>
        <v>#DIV/0!</v>
      </c>
      <c r="W21" s="26"/>
      <c r="X21" s="27">
        <f t="shared" si="10"/>
        <v>0</v>
      </c>
      <c r="Y21" s="26"/>
      <c r="Z21" s="27" t="e">
        <f t="shared" si="11"/>
        <v>#DIV/0!</v>
      </c>
    </row>
    <row r="22" spans="1:26" ht="15" customHeight="1" x14ac:dyDescent="0.25">
      <c r="A22" s="25">
        <v>17</v>
      </c>
      <c r="B22" s="26"/>
      <c r="C22" s="27">
        <f t="shared" si="2"/>
        <v>0</v>
      </c>
      <c r="D22" s="26"/>
      <c r="E22" s="27">
        <f t="shared" si="3"/>
        <v>0</v>
      </c>
      <c r="F22" s="26"/>
      <c r="G22" s="27">
        <f t="shared" si="13"/>
        <v>0</v>
      </c>
      <c r="H22" s="26"/>
      <c r="I22" s="27">
        <f t="shared" si="14"/>
        <v>0</v>
      </c>
      <c r="J22" s="26"/>
      <c r="K22" s="26">
        <f t="shared" si="4"/>
        <v>0</v>
      </c>
      <c r="L22" s="27">
        <f t="shared" si="12"/>
        <v>0</v>
      </c>
      <c r="M22" s="26"/>
      <c r="N22" s="28" t="e">
        <f t="shared" si="5"/>
        <v>#DIV/0!</v>
      </c>
      <c r="O22" s="29"/>
      <c r="P22" s="27">
        <f t="shared" si="6"/>
        <v>0</v>
      </c>
      <c r="Q22" s="26"/>
      <c r="R22" s="30" t="e">
        <f t="shared" si="7"/>
        <v>#DIV/0!</v>
      </c>
      <c r="S22" s="29"/>
      <c r="T22" s="31">
        <f t="shared" si="8"/>
        <v>0</v>
      </c>
      <c r="U22" s="32"/>
      <c r="V22" s="33" t="e">
        <f t="shared" si="9"/>
        <v>#DIV/0!</v>
      </c>
      <c r="W22" s="26"/>
      <c r="X22" s="27">
        <f t="shared" si="10"/>
        <v>0</v>
      </c>
      <c r="Y22" s="26"/>
      <c r="Z22" s="27" t="e">
        <f t="shared" si="11"/>
        <v>#DIV/0!</v>
      </c>
    </row>
    <row r="23" spans="1:26" ht="15" customHeight="1" x14ac:dyDescent="0.25">
      <c r="A23" s="25">
        <v>18</v>
      </c>
      <c r="B23" s="26"/>
      <c r="C23" s="27">
        <f t="shared" si="2"/>
        <v>0</v>
      </c>
      <c r="D23" s="26"/>
      <c r="E23" s="27">
        <f t="shared" si="3"/>
        <v>0</v>
      </c>
      <c r="F23" s="26"/>
      <c r="G23" s="27">
        <f t="shared" si="13"/>
        <v>0</v>
      </c>
      <c r="H23" s="26"/>
      <c r="I23" s="27">
        <f t="shared" si="14"/>
        <v>0</v>
      </c>
      <c r="J23" s="26"/>
      <c r="K23" s="26">
        <f t="shared" si="4"/>
        <v>0</v>
      </c>
      <c r="L23" s="27">
        <f t="shared" si="12"/>
        <v>0</v>
      </c>
      <c r="M23" s="26"/>
      <c r="N23" s="28" t="e">
        <f t="shared" si="5"/>
        <v>#DIV/0!</v>
      </c>
      <c r="O23" s="29"/>
      <c r="P23" s="27">
        <f t="shared" si="6"/>
        <v>0</v>
      </c>
      <c r="Q23" s="26"/>
      <c r="R23" s="30" t="e">
        <f t="shared" si="7"/>
        <v>#DIV/0!</v>
      </c>
      <c r="S23" s="29"/>
      <c r="T23" s="31">
        <f t="shared" si="8"/>
        <v>0</v>
      </c>
      <c r="U23" s="32"/>
      <c r="V23" s="33" t="e">
        <f t="shared" si="9"/>
        <v>#DIV/0!</v>
      </c>
      <c r="W23" s="26"/>
      <c r="X23" s="27">
        <f t="shared" si="10"/>
        <v>0</v>
      </c>
      <c r="Y23" s="26"/>
      <c r="Z23" s="27" t="e">
        <f t="shared" si="11"/>
        <v>#DIV/0!</v>
      </c>
    </row>
    <row r="24" spans="1:26" ht="15" customHeight="1" x14ac:dyDescent="0.25">
      <c r="A24" s="34">
        <v>19</v>
      </c>
      <c r="B24" s="26"/>
      <c r="C24" s="27">
        <f t="shared" si="2"/>
        <v>0</v>
      </c>
      <c r="D24" s="26"/>
      <c r="E24" s="27">
        <f t="shared" si="3"/>
        <v>0</v>
      </c>
      <c r="F24" s="26"/>
      <c r="G24" s="27">
        <f t="shared" si="13"/>
        <v>0</v>
      </c>
      <c r="H24" s="26"/>
      <c r="I24" s="27">
        <f t="shared" si="14"/>
        <v>0</v>
      </c>
      <c r="J24" s="26"/>
      <c r="K24" s="26">
        <f t="shared" si="4"/>
        <v>0</v>
      </c>
      <c r="L24" s="27">
        <f t="shared" si="12"/>
        <v>0</v>
      </c>
      <c r="M24" s="26"/>
      <c r="N24" s="28" t="e">
        <f t="shared" si="5"/>
        <v>#DIV/0!</v>
      </c>
      <c r="O24" s="29"/>
      <c r="P24" s="27">
        <f t="shared" si="6"/>
        <v>0</v>
      </c>
      <c r="Q24" s="26"/>
      <c r="R24" s="30" t="e">
        <f t="shared" si="7"/>
        <v>#DIV/0!</v>
      </c>
      <c r="S24" s="29"/>
      <c r="T24" s="31">
        <f t="shared" si="8"/>
        <v>0</v>
      </c>
      <c r="U24" s="32"/>
      <c r="V24" s="33" t="e">
        <f t="shared" si="9"/>
        <v>#DIV/0!</v>
      </c>
      <c r="W24" s="26"/>
      <c r="X24" s="27">
        <f t="shared" si="10"/>
        <v>0</v>
      </c>
      <c r="Y24" s="26"/>
      <c r="Z24" s="27" t="e">
        <f t="shared" si="11"/>
        <v>#DIV/0!</v>
      </c>
    </row>
    <row r="25" spans="1:26" ht="15" customHeight="1" x14ac:dyDescent="0.25">
      <c r="A25" s="25">
        <v>20</v>
      </c>
      <c r="B25" s="26"/>
      <c r="C25" s="27">
        <f t="shared" si="2"/>
        <v>0</v>
      </c>
      <c r="D25" s="26"/>
      <c r="E25" s="27">
        <f t="shared" si="3"/>
        <v>0</v>
      </c>
      <c r="F25" s="26"/>
      <c r="G25" s="27">
        <f t="shared" si="13"/>
        <v>0</v>
      </c>
      <c r="H25" s="26"/>
      <c r="I25" s="27">
        <f t="shared" si="14"/>
        <v>0</v>
      </c>
      <c r="J25" s="26"/>
      <c r="K25" s="26">
        <f t="shared" si="4"/>
        <v>0</v>
      </c>
      <c r="L25" s="27">
        <f t="shared" si="12"/>
        <v>0</v>
      </c>
      <c r="M25" s="26"/>
      <c r="N25" s="28" t="e">
        <f t="shared" si="5"/>
        <v>#DIV/0!</v>
      </c>
      <c r="O25" s="29"/>
      <c r="P25" s="27">
        <f t="shared" si="6"/>
        <v>0</v>
      </c>
      <c r="Q25" s="26"/>
      <c r="R25" s="30" t="e">
        <f t="shared" si="7"/>
        <v>#DIV/0!</v>
      </c>
      <c r="S25" s="29"/>
      <c r="T25" s="31">
        <f t="shared" si="8"/>
        <v>0</v>
      </c>
      <c r="U25" s="32"/>
      <c r="V25" s="33" t="e">
        <f t="shared" si="9"/>
        <v>#DIV/0!</v>
      </c>
      <c r="W25" s="26"/>
      <c r="X25" s="27">
        <f t="shared" si="10"/>
        <v>0</v>
      </c>
      <c r="Y25" s="26"/>
      <c r="Z25" s="27" t="e">
        <f t="shared" si="11"/>
        <v>#DIV/0!</v>
      </c>
    </row>
    <row r="26" spans="1:26" ht="15" customHeight="1" x14ac:dyDescent="0.25">
      <c r="A26" s="25">
        <v>21</v>
      </c>
      <c r="B26" s="26"/>
      <c r="C26" s="27">
        <f t="shared" si="2"/>
        <v>0</v>
      </c>
      <c r="D26" s="26"/>
      <c r="E26" s="27">
        <f t="shared" si="3"/>
        <v>0</v>
      </c>
      <c r="F26" s="26"/>
      <c r="G26" s="27">
        <f t="shared" si="13"/>
        <v>0</v>
      </c>
      <c r="H26" s="26"/>
      <c r="I26" s="27">
        <f t="shared" si="14"/>
        <v>0</v>
      </c>
      <c r="J26" s="26"/>
      <c r="K26" s="26">
        <f t="shared" si="4"/>
        <v>0</v>
      </c>
      <c r="L26" s="27">
        <f t="shared" si="12"/>
        <v>0</v>
      </c>
      <c r="M26" s="35"/>
      <c r="N26" s="28" t="e">
        <f t="shared" si="5"/>
        <v>#DIV/0!</v>
      </c>
      <c r="O26" s="29"/>
      <c r="P26" s="27">
        <f t="shared" si="6"/>
        <v>0</v>
      </c>
      <c r="Q26" s="26"/>
      <c r="R26" s="30" t="e">
        <f t="shared" si="7"/>
        <v>#DIV/0!</v>
      </c>
      <c r="S26" s="29"/>
      <c r="T26" s="31">
        <f t="shared" si="8"/>
        <v>0</v>
      </c>
      <c r="U26" s="32"/>
      <c r="V26" s="33" t="e">
        <f t="shared" si="9"/>
        <v>#DIV/0!</v>
      </c>
      <c r="W26" s="26"/>
      <c r="X26" s="27">
        <f t="shared" si="10"/>
        <v>0</v>
      </c>
      <c r="Y26" s="26"/>
      <c r="Z26" s="27" t="e">
        <f t="shared" si="11"/>
        <v>#DIV/0!</v>
      </c>
    </row>
    <row r="27" spans="1:26" ht="15" customHeight="1" x14ac:dyDescent="0.25">
      <c r="A27" s="25">
        <v>22</v>
      </c>
      <c r="B27" s="26"/>
      <c r="C27" s="27">
        <f t="shared" si="2"/>
        <v>0</v>
      </c>
      <c r="D27" s="26"/>
      <c r="E27" s="27">
        <f t="shared" si="3"/>
        <v>0</v>
      </c>
      <c r="F27" s="26"/>
      <c r="G27" s="27">
        <f t="shared" si="13"/>
        <v>0</v>
      </c>
      <c r="H27" s="26"/>
      <c r="I27" s="27">
        <f t="shared" si="14"/>
        <v>0</v>
      </c>
      <c r="J27" s="26"/>
      <c r="K27" s="26">
        <f t="shared" si="4"/>
        <v>0</v>
      </c>
      <c r="L27" s="27">
        <f t="shared" si="12"/>
        <v>0</v>
      </c>
      <c r="N27" s="28" t="e">
        <f t="shared" ref="N27:N32" si="15">+M28/L27*100</f>
        <v>#DIV/0!</v>
      </c>
      <c r="O27" s="29"/>
      <c r="P27" s="27">
        <f t="shared" si="6"/>
        <v>0</v>
      </c>
      <c r="Q27" s="26"/>
      <c r="R27" s="30" t="e">
        <f t="shared" si="7"/>
        <v>#DIV/0!</v>
      </c>
      <c r="S27" s="29"/>
      <c r="T27" s="31">
        <f t="shared" si="8"/>
        <v>0</v>
      </c>
      <c r="U27" s="32"/>
      <c r="V27" s="33" t="e">
        <f t="shared" si="9"/>
        <v>#DIV/0!</v>
      </c>
      <c r="W27" s="26"/>
      <c r="X27" s="27">
        <f t="shared" si="10"/>
        <v>0</v>
      </c>
      <c r="Y27" s="26"/>
      <c r="Z27" s="27" t="e">
        <f t="shared" si="11"/>
        <v>#DIV/0!</v>
      </c>
    </row>
    <row r="28" spans="1:26" ht="15" customHeight="1" x14ac:dyDescent="0.25">
      <c r="A28" s="25">
        <v>23</v>
      </c>
      <c r="B28" s="26"/>
      <c r="C28" s="27">
        <f t="shared" si="2"/>
        <v>0</v>
      </c>
      <c r="D28" s="26">
        <v>9</v>
      </c>
      <c r="E28" s="27">
        <f t="shared" si="3"/>
        <v>698.76</v>
      </c>
      <c r="F28" s="26"/>
      <c r="G28" s="27">
        <f t="shared" si="13"/>
        <v>0</v>
      </c>
      <c r="H28" s="26"/>
      <c r="I28" s="27">
        <f t="shared" si="14"/>
        <v>0</v>
      </c>
      <c r="J28" s="26"/>
      <c r="K28" s="26">
        <f t="shared" si="4"/>
        <v>0</v>
      </c>
      <c r="L28" s="27">
        <f t="shared" si="12"/>
        <v>698.76</v>
      </c>
      <c r="M28" s="36">
        <v>5206.32</v>
      </c>
      <c r="N28" s="28">
        <f t="shared" si="15"/>
        <v>1163.705707252848</v>
      </c>
      <c r="O28" s="29"/>
      <c r="P28" s="27">
        <f t="shared" si="6"/>
        <v>0</v>
      </c>
      <c r="Q28" s="26"/>
      <c r="R28" s="30" t="e">
        <f t="shared" si="7"/>
        <v>#DIV/0!</v>
      </c>
      <c r="S28" s="29"/>
      <c r="T28" s="31">
        <f t="shared" si="8"/>
        <v>0</v>
      </c>
      <c r="U28" s="32"/>
      <c r="V28" s="33" t="e">
        <f t="shared" si="9"/>
        <v>#DIV/0!</v>
      </c>
      <c r="W28" s="26"/>
      <c r="X28" s="27">
        <f t="shared" si="10"/>
        <v>0</v>
      </c>
      <c r="Y28" s="26"/>
      <c r="Z28" s="27" t="e">
        <f t="shared" si="11"/>
        <v>#DIV/0!</v>
      </c>
    </row>
    <row r="29" spans="1:26" ht="15" customHeight="1" x14ac:dyDescent="0.25">
      <c r="A29" s="25">
        <v>24</v>
      </c>
      <c r="B29" s="26"/>
      <c r="C29" s="27">
        <f t="shared" si="2"/>
        <v>0</v>
      </c>
      <c r="D29" s="26">
        <v>84</v>
      </c>
      <c r="E29" s="27">
        <f t="shared" si="3"/>
        <v>6521.76</v>
      </c>
      <c r="F29" s="26"/>
      <c r="G29" s="27">
        <f t="shared" si="13"/>
        <v>0</v>
      </c>
      <c r="H29" s="26"/>
      <c r="I29" s="27">
        <f t="shared" si="14"/>
        <v>0</v>
      </c>
      <c r="J29" s="26"/>
      <c r="K29" s="26">
        <f t="shared" si="4"/>
        <v>0</v>
      </c>
      <c r="L29" s="27">
        <f t="shared" si="12"/>
        <v>6521.76</v>
      </c>
      <c r="M29" s="37">
        <v>8131.51</v>
      </c>
      <c r="N29" s="28">
        <f t="shared" si="15"/>
        <v>106.32298643311009</v>
      </c>
      <c r="O29" s="29"/>
      <c r="P29" s="27">
        <f t="shared" si="6"/>
        <v>0</v>
      </c>
      <c r="Q29" s="26"/>
      <c r="R29" s="30" t="e">
        <f t="shared" si="7"/>
        <v>#DIV/0!</v>
      </c>
      <c r="S29" s="29"/>
      <c r="T29" s="31">
        <f t="shared" si="8"/>
        <v>0</v>
      </c>
      <c r="U29" s="32"/>
      <c r="V29" s="33" t="e">
        <f t="shared" si="9"/>
        <v>#DIV/0!</v>
      </c>
      <c r="W29" s="26"/>
      <c r="X29" s="27">
        <f t="shared" si="10"/>
        <v>0</v>
      </c>
      <c r="Y29" s="26"/>
      <c r="Z29" s="27" t="e">
        <f t="shared" si="11"/>
        <v>#DIV/0!</v>
      </c>
    </row>
    <row r="30" spans="1:26" ht="15" customHeight="1" x14ac:dyDescent="0.25">
      <c r="A30" s="34">
        <v>25</v>
      </c>
      <c r="B30" s="26"/>
      <c r="C30" s="27">
        <f t="shared" si="2"/>
        <v>0</v>
      </c>
      <c r="D30" s="26">
        <v>10</v>
      </c>
      <c r="E30" s="27">
        <f t="shared" si="3"/>
        <v>776.4</v>
      </c>
      <c r="F30" s="26"/>
      <c r="G30" s="27">
        <f t="shared" si="13"/>
        <v>0</v>
      </c>
      <c r="H30" s="26"/>
      <c r="I30" s="27">
        <f t="shared" si="14"/>
        <v>0</v>
      </c>
      <c r="J30" s="26"/>
      <c r="K30" s="26">
        <f t="shared" si="4"/>
        <v>0</v>
      </c>
      <c r="L30" s="27">
        <f t="shared" si="12"/>
        <v>776.4</v>
      </c>
      <c r="M30" s="36">
        <v>6934.13</v>
      </c>
      <c r="N30" s="28">
        <f t="shared" si="15"/>
        <v>91.754250386398766</v>
      </c>
      <c r="O30" s="29"/>
      <c r="P30" s="27">
        <f t="shared" si="6"/>
        <v>0</v>
      </c>
      <c r="Q30" s="26"/>
      <c r="R30" s="30" t="e">
        <f t="shared" si="7"/>
        <v>#DIV/0!</v>
      </c>
      <c r="S30" s="29"/>
      <c r="T30" s="31">
        <f t="shared" si="8"/>
        <v>0</v>
      </c>
      <c r="U30" s="32"/>
      <c r="V30" s="33" t="e">
        <f t="shared" si="9"/>
        <v>#DIV/0!</v>
      </c>
      <c r="W30" s="26"/>
      <c r="X30" s="27">
        <f t="shared" si="10"/>
        <v>0</v>
      </c>
      <c r="Y30" s="26"/>
      <c r="Z30" s="27" t="e">
        <f t="shared" si="11"/>
        <v>#DIV/0!</v>
      </c>
    </row>
    <row r="31" spans="1:26" ht="15" customHeight="1" x14ac:dyDescent="0.25">
      <c r="A31" s="25">
        <v>26</v>
      </c>
      <c r="B31" s="26"/>
      <c r="C31" s="27">
        <f t="shared" si="2"/>
        <v>0</v>
      </c>
      <c r="D31" s="26">
        <v>2</v>
      </c>
      <c r="E31" s="27">
        <f t="shared" si="3"/>
        <v>155.28</v>
      </c>
      <c r="F31" s="26"/>
      <c r="G31" s="27">
        <f t="shared" si="13"/>
        <v>0</v>
      </c>
      <c r="H31" s="26"/>
      <c r="I31" s="27">
        <f t="shared" si="14"/>
        <v>0</v>
      </c>
      <c r="J31" s="26"/>
      <c r="K31" s="26">
        <f t="shared" si="4"/>
        <v>0</v>
      </c>
      <c r="L31" s="27">
        <f t="shared" si="12"/>
        <v>155.28</v>
      </c>
      <c r="M31" s="26">
        <v>712.38</v>
      </c>
      <c r="N31" s="28">
        <f t="shared" si="15"/>
        <v>1556.9422977846471</v>
      </c>
      <c r="O31" s="29"/>
      <c r="P31" s="27">
        <f t="shared" si="6"/>
        <v>0</v>
      </c>
      <c r="Q31" s="26"/>
      <c r="R31" s="30" t="e">
        <f t="shared" si="7"/>
        <v>#DIV/0!</v>
      </c>
      <c r="S31" s="29"/>
      <c r="T31" s="31">
        <f t="shared" si="8"/>
        <v>0</v>
      </c>
      <c r="U31" s="32"/>
      <c r="V31" s="33" t="e">
        <f t="shared" si="9"/>
        <v>#DIV/0!</v>
      </c>
      <c r="W31" s="26"/>
      <c r="X31" s="27">
        <f t="shared" si="10"/>
        <v>0</v>
      </c>
      <c r="Y31" s="26"/>
      <c r="Z31" s="27" t="e">
        <f t="shared" si="11"/>
        <v>#DIV/0!</v>
      </c>
    </row>
    <row r="32" spans="1:26" ht="15" customHeight="1" x14ac:dyDescent="0.25">
      <c r="A32" s="25">
        <v>27</v>
      </c>
      <c r="B32" s="26"/>
      <c r="C32" s="27">
        <f t="shared" si="2"/>
        <v>0</v>
      </c>
      <c r="D32" s="26"/>
      <c r="E32" s="27">
        <f t="shared" si="3"/>
        <v>0</v>
      </c>
      <c r="F32" s="26"/>
      <c r="G32" s="27">
        <f t="shared" si="13"/>
        <v>0</v>
      </c>
      <c r="H32" s="26"/>
      <c r="I32" s="27">
        <f t="shared" si="14"/>
        <v>0</v>
      </c>
      <c r="J32" s="26"/>
      <c r="K32" s="26">
        <f t="shared" si="4"/>
        <v>0</v>
      </c>
      <c r="L32" s="27">
        <f t="shared" si="12"/>
        <v>0</v>
      </c>
      <c r="M32" s="26">
        <v>2417.62</v>
      </c>
      <c r="N32" s="28" t="e">
        <f t="shared" si="15"/>
        <v>#DIV/0!</v>
      </c>
      <c r="O32" s="29"/>
      <c r="P32" s="27">
        <f t="shared" si="6"/>
        <v>0</v>
      </c>
      <c r="Q32" s="26"/>
      <c r="R32" s="30" t="e">
        <f t="shared" si="7"/>
        <v>#DIV/0!</v>
      </c>
      <c r="S32" s="29"/>
      <c r="T32" s="31">
        <f t="shared" si="8"/>
        <v>0</v>
      </c>
      <c r="U32" s="32"/>
      <c r="V32" s="33" t="e">
        <f t="shared" si="9"/>
        <v>#DIV/0!</v>
      </c>
      <c r="W32" s="26"/>
      <c r="X32" s="27">
        <f t="shared" si="10"/>
        <v>0</v>
      </c>
      <c r="Y32" s="26"/>
      <c r="Z32" s="27" t="e">
        <f t="shared" si="11"/>
        <v>#DIV/0!</v>
      </c>
    </row>
    <row r="33" spans="1:26" ht="15" customHeight="1" x14ac:dyDescent="0.25">
      <c r="A33" s="25">
        <v>28</v>
      </c>
      <c r="B33" s="26">
        <v>2</v>
      </c>
      <c r="C33" s="27">
        <f t="shared" si="2"/>
        <v>77.64</v>
      </c>
      <c r="D33" s="26">
        <v>10</v>
      </c>
      <c r="E33" s="27">
        <f t="shared" si="3"/>
        <v>776.4</v>
      </c>
      <c r="F33" s="26"/>
      <c r="G33" s="27">
        <f t="shared" si="13"/>
        <v>0</v>
      </c>
      <c r="H33" s="26"/>
      <c r="I33" s="27">
        <f t="shared" si="14"/>
        <v>0</v>
      </c>
      <c r="J33" s="26"/>
      <c r="K33" s="26">
        <f t="shared" si="4"/>
        <v>0</v>
      </c>
      <c r="L33" s="27">
        <f t="shared" si="12"/>
        <v>854.04</v>
      </c>
      <c r="M33" s="26">
        <v>1670.75</v>
      </c>
      <c r="N33" s="28">
        <f>+M33/L33*100</f>
        <v>195.62901035080324</v>
      </c>
      <c r="O33" s="29"/>
      <c r="P33" s="27">
        <f t="shared" si="6"/>
        <v>0</v>
      </c>
      <c r="Q33" s="26"/>
      <c r="R33" s="30" t="e">
        <f t="shared" si="7"/>
        <v>#DIV/0!</v>
      </c>
      <c r="S33" s="29"/>
      <c r="T33" s="31">
        <f t="shared" si="8"/>
        <v>0</v>
      </c>
      <c r="U33" s="32"/>
      <c r="V33" s="33" t="e">
        <f t="shared" si="9"/>
        <v>#DIV/0!</v>
      </c>
      <c r="W33" s="26"/>
      <c r="X33" s="27">
        <f t="shared" si="10"/>
        <v>0</v>
      </c>
      <c r="Y33" s="26"/>
      <c r="Z33" s="27" t="e">
        <f t="shared" si="11"/>
        <v>#DIV/0!</v>
      </c>
    </row>
    <row r="34" spans="1:26" ht="15" customHeight="1" x14ac:dyDescent="0.25">
      <c r="A34" s="25">
        <v>29</v>
      </c>
      <c r="B34" s="26"/>
      <c r="C34" s="27">
        <f t="shared" si="2"/>
        <v>0</v>
      </c>
      <c r="D34" s="26">
        <v>46</v>
      </c>
      <c r="E34" s="27">
        <f t="shared" si="3"/>
        <v>3571.44</v>
      </c>
      <c r="F34" s="26">
        <v>44</v>
      </c>
      <c r="G34" s="27">
        <f t="shared" si="13"/>
        <v>3416.16</v>
      </c>
      <c r="H34" s="26"/>
      <c r="I34" s="27">
        <f t="shared" si="14"/>
        <v>0</v>
      </c>
      <c r="J34" s="26">
        <v>10</v>
      </c>
      <c r="K34" s="26">
        <f t="shared" si="4"/>
        <v>380</v>
      </c>
      <c r="L34" s="27">
        <f t="shared" si="12"/>
        <v>7367.6</v>
      </c>
      <c r="M34" s="26">
        <v>6058.92</v>
      </c>
      <c r="N34" s="28">
        <f t="shared" si="5"/>
        <v>82.237363591943108</v>
      </c>
      <c r="O34" s="29"/>
      <c r="P34" s="27">
        <f t="shared" si="6"/>
        <v>0</v>
      </c>
      <c r="Q34" s="26"/>
      <c r="R34" s="30" t="e">
        <f t="shared" si="7"/>
        <v>#DIV/0!</v>
      </c>
      <c r="S34" s="29"/>
      <c r="T34" s="31">
        <f t="shared" si="8"/>
        <v>0</v>
      </c>
      <c r="U34" s="32"/>
      <c r="V34" s="33" t="e">
        <f t="shared" si="9"/>
        <v>#DIV/0!</v>
      </c>
      <c r="W34" s="26"/>
      <c r="X34" s="27">
        <f t="shared" si="10"/>
        <v>0</v>
      </c>
      <c r="Y34" s="26"/>
      <c r="Z34" s="27" t="e">
        <f t="shared" si="11"/>
        <v>#DIV/0!</v>
      </c>
    </row>
    <row r="35" spans="1:26" ht="15" customHeight="1" x14ac:dyDescent="0.25">
      <c r="A35" s="25">
        <v>30</v>
      </c>
      <c r="B35" s="26">
        <v>32</v>
      </c>
      <c r="C35" s="27">
        <f t="shared" si="2"/>
        <v>1242.24</v>
      </c>
      <c r="D35" s="26">
        <v>38</v>
      </c>
      <c r="E35" s="27">
        <f t="shared" si="3"/>
        <v>2950.32</v>
      </c>
      <c r="F35" s="26">
        <v>76</v>
      </c>
      <c r="G35" s="27">
        <f t="shared" si="13"/>
        <v>5900.64</v>
      </c>
      <c r="H35" s="26"/>
      <c r="I35" s="27">
        <f t="shared" si="14"/>
        <v>0</v>
      </c>
      <c r="J35" s="26">
        <v>6</v>
      </c>
      <c r="K35" s="26">
        <f t="shared" si="4"/>
        <v>228</v>
      </c>
      <c r="L35" s="27">
        <f t="shared" si="12"/>
        <v>10321.200000000001</v>
      </c>
      <c r="M35" s="26">
        <v>5768.24</v>
      </c>
      <c r="N35" s="28">
        <f t="shared" si="5"/>
        <v>55.887299926365145</v>
      </c>
      <c r="O35" s="29"/>
      <c r="P35" s="27">
        <f t="shared" si="6"/>
        <v>0</v>
      </c>
      <c r="Q35" s="26"/>
      <c r="R35" s="30" t="e">
        <f t="shared" si="7"/>
        <v>#DIV/0!</v>
      </c>
      <c r="S35" s="29"/>
      <c r="T35" s="31">
        <f t="shared" si="8"/>
        <v>0</v>
      </c>
      <c r="U35" s="32"/>
      <c r="V35" s="33" t="e">
        <f t="shared" si="9"/>
        <v>#DIV/0!</v>
      </c>
      <c r="W35" s="26"/>
      <c r="X35" s="27">
        <f t="shared" si="10"/>
        <v>0</v>
      </c>
      <c r="Y35" s="26"/>
      <c r="Z35" s="27" t="e">
        <f t="shared" si="11"/>
        <v>#DIV/0!</v>
      </c>
    </row>
    <row r="36" spans="1:26" ht="15" customHeight="1" x14ac:dyDescent="0.25">
      <c r="A36" s="25">
        <v>31</v>
      </c>
      <c r="B36" s="26">
        <v>20</v>
      </c>
      <c r="C36" s="27">
        <f t="shared" si="2"/>
        <v>776.4</v>
      </c>
      <c r="D36" s="26">
        <v>37</v>
      </c>
      <c r="E36" s="27">
        <f t="shared" si="3"/>
        <v>2872.68</v>
      </c>
      <c r="F36" s="26">
        <v>79</v>
      </c>
      <c r="G36" s="27">
        <f t="shared" si="13"/>
        <v>6133.56</v>
      </c>
      <c r="H36" s="26"/>
      <c r="I36" s="27">
        <f t="shared" si="14"/>
        <v>0</v>
      </c>
      <c r="J36" s="26">
        <f>9+6+4</f>
        <v>19</v>
      </c>
      <c r="K36" s="26">
        <f t="shared" si="4"/>
        <v>722</v>
      </c>
      <c r="L36" s="27">
        <f t="shared" si="12"/>
        <v>10504.64</v>
      </c>
      <c r="M36" s="26">
        <v>6053.07</v>
      </c>
      <c r="N36" s="28">
        <f t="shared" si="5"/>
        <v>57.622821914887133</v>
      </c>
      <c r="O36" s="29"/>
      <c r="P36" s="27">
        <f t="shared" si="6"/>
        <v>0</v>
      </c>
      <c r="Q36" s="26"/>
      <c r="R36" s="30" t="e">
        <f t="shared" si="7"/>
        <v>#DIV/0!</v>
      </c>
      <c r="S36" s="26"/>
      <c r="T36" s="31">
        <f t="shared" si="8"/>
        <v>0</v>
      </c>
      <c r="U36" s="26"/>
      <c r="V36" s="33" t="e">
        <f t="shared" si="9"/>
        <v>#DIV/0!</v>
      </c>
      <c r="W36" s="26"/>
      <c r="X36" s="27">
        <f t="shared" si="10"/>
        <v>0</v>
      </c>
      <c r="Y36" s="26"/>
      <c r="Z36" s="27" t="e">
        <f t="shared" si="11"/>
        <v>#DIV/0!</v>
      </c>
    </row>
    <row r="37" spans="1:26" ht="15" customHeight="1" thickBot="1" x14ac:dyDescent="0.3">
      <c r="A37" s="4" t="s">
        <v>7</v>
      </c>
      <c r="B37" s="5">
        <f>SUM(B6:B36)</f>
        <v>54</v>
      </c>
      <c r="C37" s="7">
        <f>SUM(C6:C36)</f>
        <v>2096.2800000000002</v>
      </c>
      <c r="D37" s="5">
        <f t="shared" ref="D37:K37" si="16">SUM(D6:D36)</f>
        <v>236</v>
      </c>
      <c r="E37" s="7">
        <f>SUM(E6:E36)</f>
        <v>18323.04</v>
      </c>
      <c r="F37" s="5">
        <f t="shared" si="16"/>
        <v>199</v>
      </c>
      <c r="G37" s="7">
        <f t="shared" si="16"/>
        <v>15450.36</v>
      </c>
      <c r="H37" s="5">
        <f t="shared" si="16"/>
        <v>1</v>
      </c>
      <c r="I37" s="7">
        <f t="shared" si="16"/>
        <v>42</v>
      </c>
      <c r="J37" s="5">
        <f t="shared" si="16"/>
        <v>36</v>
      </c>
      <c r="K37" s="5">
        <f t="shared" si="16"/>
        <v>1368</v>
      </c>
      <c r="L37" s="5">
        <f>SUM(L6:L36)</f>
        <v>37279.680000000008</v>
      </c>
      <c r="M37" s="5">
        <f>SUM(M6:M36)</f>
        <v>42952.939999999995</v>
      </c>
      <c r="N37" s="6">
        <f>+M37/L37*100</f>
        <v>115.2181027304955</v>
      </c>
      <c r="O37" s="5">
        <f t="shared" ref="O37:Q37" si="17">SUM(O6:O36)</f>
        <v>1</v>
      </c>
      <c r="P37" s="7">
        <f t="shared" si="17"/>
        <v>14.41</v>
      </c>
      <c r="Q37" s="5">
        <f t="shared" si="17"/>
        <v>0</v>
      </c>
      <c r="R37" s="8">
        <f>+Q37/P37*100</f>
        <v>0</v>
      </c>
      <c r="S37" s="5">
        <f t="shared" ref="S37:Y37" si="18">SUM(S6:S36)</f>
        <v>1</v>
      </c>
      <c r="T37" s="7">
        <f t="shared" si="18"/>
        <v>28</v>
      </c>
      <c r="U37" s="5">
        <f t="shared" si="18"/>
        <v>0</v>
      </c>
      <c r="V37" s="7">
        <f>+U37/T37*100</f>
        <v>0</v>
      </c>
      <c r="W37" s="5">
        <f t="shared" si="18"/>
        <v>0</v>
      </c>
      <c r="X37" s="1">
        <f t="shared" si="18"/>
        <v>0</v>
      </c>
      <c r="Y37" s="5">
        <f t="shared" si="18"/>
        <v>0</v>
      </c>
      <c r="Z37" s="1" t="e">
        <f>+Y37/X37*100</f>
        <v>#DIV/0!</v>
      </c>
    </row>
    <row r="38" spans="1:26" ht="15.75" thickTop="1" x14ac:dyDescent="0.25"/>
  </sheetData>
  <sheetProtection algorithmName="SHA-512" hashValue="ZvceTm0Slps3L6MYzxndCLD1P63ReVM7Blvh9TklqlNucUcC/pIn5OvYQwfxUDlTwaiD2rdDwCv0wqoNptsLlg==" saltValue="p2KbUcH1OaABDP2niVASmg==" spinCount="100000" sheet="1" scenarios="1" sort="0" autoFilter="0"/>
  <mergeCells count="7">
    <mergeCell ref="W4:Z4"/>
    <mergeCell ref="B4:N4"/>
    <mergeCell ref="A1:Z1"/>
    <mergeCell ref="A2:Z2"/>
    <mergeCell ref="A3:Z3"/>
    <mergeCell ref="O4:R4"/>
    <mergeCell ref="S4:V4"/>
  </mergeCells>
  <pageMargins left="0.11811023622047245" right="0.11811023622047245" top="0.35433070866141736" bottom="0.35433070866141736" header="0.31496062992125984" footer="0.31496062992125984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D192-BD93-40E0-9DDA-466A3CB04A8B}">
  <sheetPr>
    <pageSetUpPr fitToPage="1"/>
  </sheetPr>
  <dimension ref="A1:V38"/>
  <sheetViews>
    <sheetView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R37" sqref="R37"/>
    </sheetView>
  </sheetViews>
  <sheetFormatPr defaultRowHeight="15" x14ac:dyDescent="0.25"/>
  <cols>
    <col min="2" max="2" width="9.28515625" bestFit="1" customWidth="1"/>
    <col min="3" max="3" width="4.85546875" hidden="1" customWidth="1"/>
    <col min="4" max="4" width="6.140625" bestFit="1" customWidth="1"/>
    <col min="5" max="5" width="8" hidden="1" customWidth="1"/>
    <col min="7" max="7" width="5.85546875" hidden="1" customWidth="1"/>
    <col min="8" max="8" width="5.85546875" bestFit="1" customWidth="1"/>
    <col min="9" max="9" width="9.28515625" hidden="1" customWidth="1"/>
    <col min="10" max="10" width="6.42578125" bestFit="1" customWidth="1"/>
    <col min="11" max="11" width="9.28515625" customWidth="1"/>
    <col min="12" max="12" width="7.28515625" customWidth="1"/>
    <col min="13" max="13" width="9.28515625" hidden="1" customWidth="1"/>
    <col min="14" max="14" width="7.7109375" customWidth="1"/>
    <col min="15" max="15" width="9.28515625" customWidth="1"/>
    <col min="16" max="16" width="8.140625" style="2" bestFit="1" customWidth="1"/>
    <col min="17" max="17" width="15.140625" style="2" customWidth="1"/>
    <col min="18" max="18" width="10.7109375" style="2" customWidth="1"/>
    <col min="19" max="19" width="8.42578125" customWidth="1"/>
    <col min="20" max="20" width="8.85546875" customWidth="1"/>
    <col min="21" max="21" width="12.85546875" customWidth="1"/>
    <col min="22" max="22" width="10.140625" style="39" customWidth="1"/>
  </cols>
  <sheetData>
    <row r="1" spans="1:22" ht="18" customHeight="1" x14ac:dyDescent="0.35">
      <c r="A1" s="329" t="s">
        <v>8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</row>
    <row r="2" spans="1:22" ht="18" customHeight="1" x14ac:dyDescent="0.35">
      <c r="A2" s="329" t="s">
        <v>11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</row>
    <row r="3" spans="1:22" ht="18" customHeight="1" thickBot="1" x14ac:dyDescent="0.4">
      <c r="A3" s="329" t="s">
        <v>23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</row>
    <row r="4" spans="1:22" ht="15" customHeight="1" thickBot="1" x14ac:dyDescent="0.35">
      <c r="A4" s="337" t="s">
        <v>24</v>
      </c>
      <c r="B4" s="327" t="s">
        <v>25</v>
      </c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8"/>
      <c r="S4" s="331" t="s">
        <v>17</v>
      </c>
      <c r="T4" s="332"/>
      <c r="U4" s="332"/>
      <c r="V4" s="333"/>
    </row>
    <row r="5" spans="1:22" ht="28.5" customHeight="1" x14ac:dyDescent="0.25">
      <c r="A5" s="338"/>
      <c r="B5" s="10" t="s">
        <v>2</v>
      </c>
      <c r="C5" s="11" t="s">
        <v>14</v>
      </c>
      <c r="D5" s="10" t="s">
        <v>3</v>
      </c>
      <c r="E5" s="11" t="s">
        <v>14</v>
      </c>
      <c r="F5" s="10" t="s">
        <v>4</v>
      </c>
      <c r="G5" s="12" t="s">
        <v>14</v>
      </c>
      <c r="H5" s="13" t="s">
        <v>9</v>
      </c>
      <c r="I5" s="14" t="s">
        <v>14</v>
      </c>
      <c r="J5" s="13" t="s">
        <v>12</v>
      </c>
      <c r="K5" s="13" t="s">
        <v>14</v>
      </c>
      <c r="L5" s="13" t="s">
        <v>19</v>
      </c>
      <c r="M5" s="14" t="s">
        <v>14</v>
      </c>
      <c r="N5" s="18" t="s">
        <v>5</v>
      </c>
      <c r="O5" s="14" t="s">
        <v>14</v>
      </c>
      <c r="P5" s="15" t="s">
        <v>13</v>
      </c>
      <c r="Q5" s="10" t="s">
        <v>0</v>
      </c>
      <c r="R5" s="17" t="s">
        <v>20</v>
      </c>
      <c r="S5" s="18" t="s">
        <v>21</v>
      </c>
      <c r="T5" s="15" t="s">
        <v>15</v>
      </c>
      <c r="U5" s="10" t="s">
        <v>6</v>
      </c>
      <c r="V5" s="38" t="s">
        <v>16</v>
      </c>
    </row>
    <row r="6" spans="1:22" ht="15" customHeight="1" x14ac:dyDescent="0.25">
      <c r="A6" s="42">
        <v>1</v>
      </c>
      <c r="B6" s="43">
        <v>61</v>
      </c>
      <c r="C6" s="1">
        <f>38.82*B6</f>
        <v>2368.02</v>
      </c>
      <c r="D6" s="43">
        <v>56</v>
      </c>
      <c r="E6" s="1">
        <f>77.64*D6</f>
        <v>4347.84</v>
      </c>
      <c r="F6" s="43">
        <v>66</v>
      </c>
      <c r="G6" s="1">
        <f t="shared" ref="G6:G7" si="0">77.64*F6</f>
        <v>5124.24</v>
      </c>
      <c r="H6" s="43"/>
      <c r="I6" s="1">
        <f t="shared" ref="I6:I7" si="1">42*H6</f>
        <v>0</v>
      </c>
      <c r="J6" s="43"/>
      <c r="K6" s="43">
        <f>38*J6</f>
        <v>0</v>
      </c>
      <c r="L6" s="43"/>
      <c r="M6" s="1">
        <f>+L6*78</f>
        <v>0</v>
      </c>
      <c r="N6" s="43"/>
      <c r="O6" s="1">
        <f>+N6*28</f>
        <v>0</v>
      </c>
      <c r="P6" s="1">
        <f>+K6+I6+G6+E6+C6+M6+O6</f>
        <v>11840.1</v>
      </c>
      <c r="Q6" s="43">
        <v>6019.24</v>
      </c>
      <c r="R6" s="44">
        <f>+Q6/P6*100</f>
        <v>50.837746302818388</v>
      </c>
      <c r="S6" s="45"/>
      <c r="T6" s="1">
        <f>14.41*S6</f>
        <v>0</v>
      </c>
      <c r="U6" s="43"/>
      <c r="V6" s="46" t="e">
        <f>+U6/T6*100</f>
        <v>#DIV/0!</v>
      </c>
    </row>
    <row r="7" spans="1:22" ht="15" customHeight="1" x14ac:dyDescent="0.25">
      <c r="A7" s="42">
        <v>2</v>
      </c>
      <c r="B7" s="43">
        <v>51</v>
      </c>
      <c r="C7" s="1">
        <f t="shared" ref="C7:C36" si="2">38.82*B7</f>
        <v>1979.82</v>
      </c>
      <c r="D7" s="43">
        <v>48</v>
      </c>
      <c r="E7" s="1">
        <f t="shared" ref="E7:E36" si="3">77.64*D7</f>
        <v>3726.7200000000003</v>
      </c>
      <c r="F7" s="43">
        <v>60</v>
      </c>
      <c r="G7" s="1">
        <f t="shared" si="0"/>
        <v>4658.3999999999996</v>
      </c>
      <c r="H7" s="43"/>
      <c r="I7" s="1">
        <f t="shared" si="1"/>
        <v>0</v>
      </c>
      <c r="J7" s="43"/>
      <c r="K7" s="43">
        <f t="shared" ref="K7:K36" si="4">38*J7</f>
        <v>0</v>
      </c>
      <c r="L7" s="43"/>
      <c r="M7" s="1">
        <f t="shared" ref="M7:M36" si="5">+L7*78</f>
        <v>0</v>
      </c>
      <c r="N7" s="43"/>
      <c r="O7" s="1">
        <f t="shared" ref="O7:O36" si="6">+N7*28</f>
        <v>0</v>
      </c>
      <c r="P7" s="1">
        <f t="shared" ref="P7:P36" si="7">+K7+I7+G7+E7+C7+M7+O7</f>
        <v>10364.939999999999</v>
      </c>
      <c r="Q7" s="43">
        <v>6653.6</v>
      </c>
      <c r="R7" s="44">
        <f t="shared" ref="R7:R36" si="8">+Q7/P7*100</f>
        <v>64.193328663745291</v>
      </c>
      <c r="S7" s="45"/>
      <c r="T7" s="1">
        <f t="shared" ref="T7:T36" si="9">14.41*S7</f>
        <v>0</v>
      </c>
      <c r="U7" s="43"/>
      <c r="V7" s="46" t="e">
        <f t="shared" ref="V7:V36" si="10">+U7/T7*100</f>
        <v>#DIV/0!</v>
      </c>
    </row>
    <row r="8" spans="1:22" ht="15" customHeight="1" x14ac:dyDescent="0.25">
      <c r="A8" s="42">
        <v>3</v>
      </c>
      <c r="B8" s="43">
        <v>41</v>
      </c>
      <c r="C8" s="1">
        <f t="shared" si="2"/>
        <v>1591.6200000000001</v>
      </c>
      <c r="D8" s="43">
        <v>51</v>
      </c>
      <c r="E8" s="1">
        <f t="shared" si="3"/>
        <v>3959.64</v>
      </c>
      <c r="F8" s="43">
        <v>54</v>
      </c>
      <c r="G8" s="1">
        <f>77.64*F8</f>
        <v>4192.5600000000004</v>
      </c>
      <c r="H8" s="43"/>
      <c r="I8" s="1">
        <f>42*H8</f>
        <v>0</v>
      </c>
      <c r="J8" s="43"/>
      <c r="K8" s="43">
        <f t="shared" si="4"/>
        <v>0</v>
      </c>
      <c r="L8" s="43"/>
      <c r="M8" s="1">
        <f t="shared" si="5"/>
        <v>0</v>
      </c>
      <c r="N8" s="43"/>
      <c r="O8" s="1">
        <f t="shared" si="6"/>
        <v>0</v>
      </c>
      <c r="P8" s="1">
        <f t="shared" si="7"/>
        <v>9743.8200000000015</v>
      </c>
      <c r="Q8" s="43">
        <v>5962.49</v>
      </c>
      <c r="R8" s="44">
        <f t="shared" si="8"/>
        <v>61.19253023968011</v>
      </c>
      <c r="S8" s="45">
        <v>96</v>
      </c>
      <c r="T8" s="1">
        <f t="shared" si="9"/>
        <v>1383.3600000000001</v>
      </c>
      <c r="U8" s="43">
        <v>648.1</v>
      </c>
      <c r="V8" s="46">
        <f t="shared" si="10"/>
        <v>46.849699282905391</v>
      </c>
    </row>
    <row r="9" spans="1:22" ht="15" customHeight="1" x14ac:dyDescent="0.25">
      <c r="A9" s="42">
        <v>4</v>
      </c>
      <c r="B9" s="43">
        <v>48</v>
      </c>
      <c r="C9" s="1">
        <f t="shared" si="2"/>
        <v>1863.3600000000001</v>
      </c>
      <c r="D9" s="43">
        <v>56</v>
      </c>
      <c r="E9" s="1">
        <f t="shared" si="3"/>
        <v>4347.84</v>
      </c>
      <c r="F9" s="43">
        <v>74</v>
      </c>
      <c r="G9" s="1">
        <f t="shared" ref="G9:G36" si="11">77.64*F9</f>
        <v>5745.36</v>
      </c>
      <c r="H9" s="43"/>
      <c r="I9" s="1">
        <f t="shared" ref="I9:I36" si="12">42*H9</f>
        <v>0</v>
      </c>
      <c r="J9" s="43"/>
      <c r="K9" s="43">
        <f t="shared" si="4"/>
        <v>0</v>
      </c>
      <c r="L9" s="43"/>
      <c r="M9" s="1">
        <f t="shared" si="5"/>
        <v>0</v>
      </c>
      <c r="N9" s="43"/>
      <c r="O9" s="1">
        <f t="shared" si="6"/>
        <v>0</v>
      </c>
      <c r="P9" s="1">
        <f t="shared" si="7"/>
        <v>11956.560000000001</v>
      </c>
      <c r="Q9" s="43">
        <v>4350.76</v>
      </c>
      <c r="R9" s="44">
        <f t="shared" si="8"/>
        <v>36.388058103668612</v>
      </c>
      <c r="S9" s="45"/>
      <c r="T9" s="1">
        <f t="shared" si="9"/>
        <v>0</v>
      </c>
      <c r="U9" s="43"/>
      <c r="V9" s="46" t="e">
        <f t="shared" si="10"/>
        <v>#DIV/0!</v>
      </c>
    </row>
    <row r="10" spans="1:22" ht="15" customHeight="1" x14ac:dyDescent="0.25">
      <c r="A10" s="42">
        <v>5</v>
      </c>
      <c r="B10" s="43">
        <v>44</v>
      </c>
      <c r="C10" s="1">
        <f t="shared" si="2"/>
        <v>1708.08</v>
      </c>
      <c r="D10" s="43">
        <v>61</v>
      </c>
      <c r="E10" s="1">
        <f t="shared" si="3"/>
        <v>4736.04</v>
      </c>
      <c r="F10" s="43">
        <v>84</v>
      </c>
      <c r="G10" s="1">
        <f t="shared" si="11"/>
        <v>6521.76</v>
      </c>
      <c r="H10" s="43"/>
      <c r="I10" s="1">
        <f t="shared" si="12"/>
        <v>0</v>
      </c>
      <c r="J10" s="43"/>
      <c r="K10" s="43">
        <f t="shared" si="4"/>
        <v>0</v>
      </c>
      <c r="L10" s="43"/>
      <c r="M10" s="1">
        <f t="shared" si="5"/>
        <v>0</v>
      </c>
      <c r="N10" s="43"/>
      <c r="O10" s="1">
        <f t="shared" si="6"/>
        <v>0</v>
      </c>
      <c r="P10" s="1">
        <f t="shared" si="7"/>
        <v>12965.88</v>
      </c>
      <c r="Q10" s="43">
        <v>4367.3100000000004</v>
      </c>
      <c r="R10" s="44">
        <f t="shared" si="8"/>
        <v>33.683097483549133</v>
      </c>
      <c r="S10" s="45"/>
      <c r="T10" s="1">
        <f t="shared" si="9"/>
        <v>0</v>
      </c>
      <c r="U10" s="43"/>
      <c r="V10" s="46" t="e">
        <f t="shared" si="10"/>
        <v>#DIV/0!</v>
      </c>
    </row>
    <row r="11" spans="1:22" ht="15" customHeight="1" x14ac:dyDescent="0.25">
      <c r="A11" s="42">
        <v>6</v>
      </c>
      <c r="B11" s="43">
        <v>43</v>
      </c>
      <c r="C11" s="1">
        <f t="shared" si="2"/>
        <v>1669.26</v>
      </c>
      <c r="D11" s="43">
        <v>53</v>
      </c>
      <c r="E11" s="1">
        <f t="shared" si="3"/>
        <v>4114.92</v>
      </c>
      <c r="F11" s="43">
        <v>86</v>
      </c>
      <c r="G11" s="1">
        <f t="shared" si="11"/>
        <v>6677.04</v>
      </c>
      <c r="H11" s="43"/>
      <c r="I11" s="1">
        <f t="shared" si="12"/>
        <v>0</v>
      </c>
      <c r="J11" s="43"/>
      <c r="K11" s="43">
        <f t="shared" si="4"/>
        <v>0</v>
      </c>
      <c r="L11" s="43"/>
      <c r="M11" s="1">
        <f t="shared" si="5"/>
        <v>0</v>
      </c>
      <c r="N11" s="43"/>
      <c r="O11" s="1">
        <f t="shared" si="6"/>
        <v>0</v>
      </c>
      <c r="P11" s="1">
        <f t="shared" si="7"/>
        <v>12461.22</v>
      </c>
      <c r="Q11" s="43">
        <v>4204.47</v>
      </c>
      <c r="R11" s="44">
        <f t="shared" si="8"/>
        <v>33.740436329669173</v>
      </c>
      <c r="S11" s="45">
        <v>90</v>
      </c>
      <c r="T11" s="1">
        <f t="shared" si="9"/>
        <v>1296.9000000000001</v>
      </c>
      <c r="U11" s="43">
        <v>620.62</v>
      </c>
      <c r="V11" s="46">
        <f t="shared" si="10"/>
        <v>47.854113655640369</v>
      </c>
    </row>
    <row r="12" spans="1:22" ht="15" customHeight="1" x14ac:dyDescent="0.25">
      <c r="A12" s="42">
        <v>7</v>
      </c>
      <c r="B12" s="43">
        <v>36</v>
      </c>
      <c r="C12" s="1">
        <f t="shared" si="2"/>
        <v>1397.52</v>
      </c>
      <c r="D12" s="43">
        <v>40</v>
      </c>
      <c r="E12" s="1">
        <f t="shared" si="3"/>
        <v>3105.6</v>
      </c>
      <c r="F12" s="43">
        <v>101</v>
      </c>
      <c r="G12" s="1">
        <f t="shared" si="11"/>
        <v>7841.64</v>
      </c>
      <c r="H12" s="43"/>
      <c r="I12" s="1">
        <f t="shared" si="12"/>
        <v>0</v>
      </c>
      <c r="J12" s="43"/>
      <c r="K12" s="43">
        <f t="shared" si="4"/>
        <v>0</v>
      </c>
      <c r="L12" s="43"/>
      <c r="M12" s="1">
        <f t="shared" si="5"/>
        <v>0</v>
      </c>
      <c r="N12" s="43"/>
      <c r="O12" s="1">
        <f t="shared" si="6"/>
        <v>0</v>
      </c>
      <c r="P12" s="1">
        <f t="shared" si="7"/>
        <v>12344.76</v>
      </c>
      <c r="Q12" s="43">
        <v>5399.32</v>
      </c>
      <c r="R12" s="44">
        <f t="shared" si="8"/>
        <v>43.737747837949051</v>
      </c>
      <c r="S12" s="45"/>
      <c r="T12" s="1">
        <f t="shared" si="9"/>
        <v>0</v>
      </c>
      <c r="U12" s="43"/>
      <c r="V12" s="46" t="e">
        <f t="shared" si="10"/>
        <v>#DIV/0!</v>
      </c>
    </row>
    <row r="13" spans="1:22" ht="15" customHeight="1" x14ac:dyDescent="0.25">
      <c r="A13" s="47">
        <v>8</v>
      </c>
      <c r="B13" s="48">
        <v>46</v>
      </c>
      <c r="C13" s="49">
        <f t="shared" si="2"/>
        <v>1785.72</v>
      </c>
      <c r="D13" s="48">
        <v>34</v>
      </c>
      <c r="E13" s="49">
        <f t="shared" si="3"/>
        <v>2639.76</v>
      </c>
      <c r="F13" s="48">
        <v>60</v>
      </c>
      <c r="G13" s="49">
        <f t="shared" si="11"/>
        <v>4658.3999999999996</v>
      </c>
      <c r="H13" s="48"/>
      <c r="I13" s="49">
        <f t="shared" si="12"/>
        <v>0</v>
      </c>
      <c r="J13" s="48"/>
      <c r="K13" s="48">
        <f t="shared" si="4"/>
        <v>0</v>
      </c>
      <c r="L13" s="43"/>
      <c r="M13" s="1">
        <f t="shared" si="5"/>
        <v>0</v>
      </c>
      <c r="N13" s="43"/>
      <c r="O13" s="1">
        <f t="shared" si="6"/>
        <v>0</v>
      </c>
      <c r="P13" s="1">
        <f t="shared" si="7"/>
        <v>9083.8799999999992</v>
      </c>
      <c r="Q13" s="43">
        <v>6182.06</v>
      </c>
      <c r="R13" s="44">
        <f t="shared" si="8"/>
        <v>68.055280342761037</v>
      </c>
      <c r="S13" s="45"/>
      <c r="T13" s="1">
        <f t="shared" si="9"/>
        <v>0</v>
      </c>
      <c r="U13" s="43"/>
      <c r="V13" s="46" t="e">
        <f t="shared" si="10"/>
        <v>#DIV/0!</v>
      </c>
    </row>
    <row r="14" spans="1:22" ht="15" customHeight="1" x14ac:dyDescent="0.25">
      <c r="A14" s="42">
        <v>9</v>
      </c>
      <c r="B14" s="43">
        <v>36</v>
      </c>
      <c r="C14" s="1">
        <f t="shared" si="2"/>
        <v>1397.52</v>
      </c>
      <c r="D14" s="43">
        <v>29</v>
      </c>
      <c r="E14" s="1">
        <f t="shared" si="3"/>
        <v>2251.56</v>
      </c>
      <c r="F14" s="43">
        <v>44</v>
      </c>
      <c r="G14" s="1">
        <f t="shared" si="11"/>
        <v>3416.16</v>
      </c>
      <c r="H14" s="43"/>
      <c r="I14" s="1">
        <f t="shared" si="12"/>
        <v>0</v>
      </c>
      <c r="J14" s="43"/>
      <c r="K14" s="43">
        <f t="shared" si="4"/>
        <v>0</v>
      </c>
      <c r="L14" s="43"/>
      <c r="M14" s="1">
        <f t="shared" si="5"/>
        <v>0</v>
      </c>
      <c r="N14" s="43"/>
      <c r="O14" s="1">
        <f t="shared" si="6"/>
        <v>0</v>
      </c>
      <c r="P14" s="1">
        <f t="shared" si="7"/>
        <v>7065.24</v>
      </c>
      <c r="Q14" s="50">
        <v>4748.87</v>
      </c>
      <c r="R14" s="44">
        <f t="shared" si="8"/>
        <v>67.214560298022434</v>
      </c>
      <c r="S14" s="45"/>
      <c r="T14" s="1">
        <f t="shared" si="9"/>
        <v>0</v>
      </c>
      <c r="U14" s="43"/>
      <c r="V14" s="46" t="e">
        <f t="shared" si="10"/>
        <v>#DIV/0!</v>
      </c>
    </row>
    <row r="15" spans="1:22" ht="15" customHeight="1" x14ac:dyDescent="0.25">
      <c r="A15" s="42">
        <v>10</v>
      </c>
      <c r="B15" s="43">
        <v>38</v>
      </c>
      <c r="C15" s="1">
        <f t="shared" si="2"/>
        <v>1475.16</v>
      </c>
      <c r="D15" s="43">
        <v>25</v>
      </c>
      <c r="E15" s="1">
        <f t="shared" si="3"/>
        <v>1941</v>
      </c>
      <c r="F15" s="43">
        <v>56</v>
      </c>
      <c r="G15" s="1">
        <f t="shared" si="11"/>
        <v>4347.84</v>
      </c>
      <c r="H15" s="43"/>
      <c r="I15" s="1">
        <f t="shared" si="12"/>
        <v>0</v>
      </c>
      <c r="J15" s="43"/>
      <c r="K15" s="43">
        <f t="shared" si="4"/>
        <v>0</v>
      </c>
      <c r="L15" s="43"/>
      <c r="M15" s="1">
        <f t="shared" si="5"/>
        <v>0</v>
      </c>
      <c r="N15" s="43"/>
      <c r="O15" s="1">
        <f t="shared" si="6"/>
        <v>0</v>
      </c>
      <c r="P15" s="1">
        <f t="shared" si="7"/>
        <v>7764</v>
      </c>
      <c r="Q15" s="50">
        <v>5632.38</v>
      </c>
      <c r="R15" s="44">
        <f t="shared" si="8"/>
        <v>72.544822256568779</v>
      </c>
      <c r="S15" s="45"/>
      <c r="T15" s="1">
        <f t="shared" si="9"/>
        <v>0</v>
      </c>
      <c r="U15" s="43"/>
      <c r="V15" s="46" t="e">
        <f t="shared" si="10"/>
        <v>#DIV/0!</v>
      </c>
    </row>
    <row r="16" spans="1:22" ht="15" customHeight="1" x14ac:dyDescent="0.25">
      <c r="A16" s="42">
        <v>11</v>
      </c>
      <c r="B16" s="43">
        <v>41</v>
      </c>
      <c r="C16" s="1">
        <f t="shared" si="2"/>
        <v>1591.6200000000001</v>
      </c>
      <c r="D16" s="43">
        <v>45</v>
      </c>
      <c r="E16" s="1">
        <f t="shared" si="3"/>
        <v>3493.8</v>
      </c>
      <c r="F16" s="43">
        <v>124</v>
      </c>
      <c r="G16" s="1">
        <f t="shared" si="11"/>
        <v>9627.36</v>
      </c>
      <c r="H16" s="43"/>
      <c r="I16" s="1">
        <f t="shared" si="12"/>
        <v>0</v>
      </c>
      <c r="J16" s="43"/>
      <c r="K16" s="43">
        <f t="shared" si="4"/>
        <v>0</v>
      </c>
      <c r="L16" s="43">
        <v>1</v>
      </c>
      <c r="M16" s="1">
        <f t="shared" si="5"/>
        <v>78</v>
      </c>
      <c r="N16" s="43"/>
      <c r="O16" s="1">
        <f t="shared" si="6"/>
        <v>0</v>
      </c>
      <c r="P16" s="1">
        <f t="shared" si="7"/>
        <v>14790.78</v>
      </c>
      <c r="Q16" s="43">
        <v>3114.25</v>
      </c>
      <c r="R16" s="44">
        <f t="shared" si="8"/>
        <v>21.055346641624038</v>
      </c>
      <c r="S16" s="45"/>
      <c r="T16" s="1">
        <f t="shared" si="9"/>
        <v>0</v>
      </c>
      <c r="U16" s="43"/>
      <c r="V16" s="46" t="e">
        <f t="shared" si="10"/>
        <v>#DIV/0!</v>
      </c>
    </row>
    <row r="17" spans="1:22" ht="15" customHeight="1" x14ac:dyDescent="0.25">
      <c r="A17" s="42">
        <v>12</v>
      </c>
      <c r="B17" s="43">
        <v>75</v>
      </c>
      <c r="C17" s="1">
        <f t="shared" si="2"/>
        <v>2911.5</v>
      </c>
      <c r="D17" s="43">
        <v>48</v>
      </c>
      <c r="E17" s="1">
        <f t="shared" si="3"/>
        <v>3726.7200000000003</v>
      </c>
      <c r="F17" s="43">
        <v>113</v>
      </c>
      <c r="G17" s="1">
        <f t="shared" si="11"/>
        <v>8773.32</v>
      </c>
      <c r="H17" s="43"/>
      <c r="I17" s="1">
        <f t="shared" si="12"/>
        <v>0</v>
      </c>
      <c r="J17" s="43"/>
      <c r="K17" s="43">
        <f t="shared" si="4"/>
        <v>0</v>
      </c>
      <c r="L17" s="43">
        <v>1</v>
      </c>
      <c r="M17" s="1">
        <f t="shared" si="5"/>
        <v>78</v>
      </c>
      <c r="N17" s="43"/>
      <c r="O17" s="1">
        <f t="shared" si="6"/>
        <v>0</v>
      </c>
      <c r="P17" s="1">
        <f t="shared" si="7"/>
        <v>15489.54</v>
      </c>
      <c r="Q17" s="43">
        <v>3769.73</v>
      </c>
      <c r="R17" s="44">
        <f t="shared" si="8"/>
        <v>24.33726243645712</v>
      </c>
      <c r="S17" s="45">
        <v>85</v>
      </c>
      <c r="T17" s="1">
        <f t="shared" si="9"/>
        <v>1224.8499999999999</v>
      </c>
      <c r="U17" s="43">
        <v>956.5</v>
      </c>
      <c r="V17" s="46">
        <f t="shared" si="10"/>
        <v>78.091194840184514</v>
      </c>
    </row>
    <row r="18" spans="1:22" ht="15" customHeight="1" x14ac:dyDescent="0.25">
      <c r="A18" s="42">
        <v>13</v>
      </c>
      <c r="B18" s="43">
        <v>64</v>
      </c>
      <c r="C18" s="1">
        <f t="shared" si="2"/>
        <v>2484.48</v>
      </c>
      <c r="D18" s="43">
        <v>59</v>
      </c>
      <c r="E18" s="1">
        <f t="shared" si="3"/>
        <v>4580.76</v>
      </c>
      <c r="F18" s="43">
        <v>114</v>
      </c>
      <c r="G18" s="1">
        <f t="shared" si="11"/>
        <v>8850.9600000000009</v>
      </c>
      <c r="H18" s="43"/>
      <c r="I18" s="1">
        <f t="shared" si="12"/>
        <v>0</v>
      </c>
      <c r="J18" s="43"/>
      <c r="K18" s="43">
        <f t="shared" si="4"/>
        <v>0</v>
      </c>
      <c r="L18" s="43"/>
      <c r="M18" s="1">
        <f t="shared" si="5"/>
        <v>0</v>
      </c>
      <c r="N18" s="43">
        <v>2</v>
      </c>
      <c r="O18" s="1">
        <f t="shared" si="6"/>
        <v>56</v>
      </c>
      <c r="P18" s="1">
        <f t="shared" si="7"/>
        <v>15972.2</v>
      </c>
      <c r="Q18" s="43">
        <v>4646.0600000000004</v>
      </c>
      <c r="R18" s="44">
        <f t="shared" si="8"/>
        <v>29.088416123013737</v>
      </c>
      <c r="S18" s="45"/>
      <c r="T18" s="1">
        <f t="shared" si="9"/>
        <v>0</v>
      </c>
      <c r="U18" s="43"/>
      <c r="V18" s="46" t="e">
        <f t="shared" si="10"/>
        <v>#DIV/0!</v>
      </c>
    </row>
    <row r="19" spans="1:22" ht="15" customHeight="1" x14ac:dyDescent="0.25">
      <c r="A19" s="42">
        <v>14</v>
      </c>
      <c r="B19" s="43">
        <v>39</v>
      </c>
      <c r="C19" s="1">
        <f t="shared" si="2"/>
        <v>1513.98</v>
      </c>
      <c r="D19" s="43">
        <v>53</v>
      </c>
      <c r="E19" s="1">
        <f t="shared" si="3"/>
        <v>4114.92</v>
      </c>
      <c r="F19" s="43">
        <v>104</v>
      </c>
      <c r="G19" s="1">
        <f t="shared" si="11"/>
        <v>8074.56</v>
      </c>
      <c r="H19" s="43"/>
      <c r="I19" s="1">
        <f t="shared" si="12"/>
        <v>0</v>
      </c>
      <c r="J19" s="43"/>
      <c r="K19" s="43">
        <f t="shared" si="4"/>
        <v>0</v>
      </c>
      <c r="L19" s="43">
        <v>1</v>
      </c>
      <c r="M19" s="1">
        <f t="shared" si="5"/>
        <v>78</v>
      </c>
      <c r="N19" s="43"/>
      <c r="O19" s="1">
        <f t="shared" si="6"/>
        <v>0</v>
      </c>
      <c r="P19" s="1">
        <f t="shared" si="7"/>
        <v>13781.46</v>
      </c>
      <c r="Q19" s="43">
        <v>6688.8</v>
      </c>
      <c r="R19" s="44">
        <f t="shared" si="8"/>
        <v>48.534770626624471</v>
      </c>
      <c r="S19" s="45"/>
      <c r="T19" s="1">
        <f t="shared" si="9"/>
        <v>0</v>
      </c>
      <c r="U19" s="43"/>
      <c r="V19" s="46" t="e">
        <f t="shared" si="10"/>
        <v>#DIV/0!</v>
      </c>
    </row>
    <row r="20" spans="1:22" ht="15" customHeight="1" x14ac:dyDescent="0.25">
      <c r="A20" s="42">
        <v>15</v>
      </c>
      <c r="B20" s="48">
        <v>47</v>
      </c>
      <c r="C20" s="49">
        <f t="shared" si="2"/>
        <v>1824.54</v>
      </c>
      <c r="D20" s="48">
        <v>33</v>
      </c>
      <c r="E20" s="49">
        <f t="shared" si="3"/>
        <v>2562.12</v>
      </c>
      <c r="F20" s="48">
        <v>69</v>
      </c>
      <c r="G20" s="49">
        <f t="shared" si="11"/>
        <v>5357.16</v>
      </c>
      <c r="H20" s="48"/>
      <c r="I20" s="49">
        <f t="shared" si="12"/>
        <v>0</v>
      </c>
      <c r="J20" s="43"/>
      <c r="K20" s="43">
        <f t="shared" si="4"/>
        <v>0</v>
      </c>
      <c r="L20" s="43"/>
      <c r="M20" s="1">
        <f t="shared" si="5"/>
        <v>0</v>
      </c>
      <c r="N20" s="43"/>
      <c r="O20" s="1">
        <f t="shared" si="6"/>
        <v>0</v>
      </c>
      <c r="P20" s="1">
        <f t="shared" si="7"/>
        <v>9743.82</v>
      </c>
      <c r="Q20" s="43">
        <v>5701.82</v>
      </c>
      <c r="R20" s="44">
        <f t="shared" si="8"/>
        <v>58.517296091266061</v>
      </c>
      <c r="S20" s="45"/>
      <c r="T20" s="1">
        <f t="shared" si="9"/>
        <v>0</v>
      </c>
      <c r="U20" s="43"/>
      <c r="V20" s="46" t="e">
        <f t="shared" si="10"/>
        <v>#DIV/0!</v>
      </c>
    </row>
    <row r="21" spans="1:22" ht="15" customHeight="1" x14ac:dyDescent="0.25">
      <c r="A21" s="42">
        <v>16</v>
      </c>
      <c r="B21" s="43">
        <v>36</v>
      </c>
      <c r="C21" s="1">
        <f t="shared" si="2"/>
        <v>1397.52</v>
      </c>
      <c r="D21" s="43">
        <v>26</v>
      </c>
      <c r="E21" s="1">
        <f t="shared" si="3"/>
        <v>2018.64</v>
      </c>
      <c r="F21" s="43">
        <v>47</v>
      </c>
      <c r="G21" s="1">
        <f t="shared" si="11"/>
        <v>3649.08</v>
      </c>
      <c r="H21" s="43"/>
      <c r="I21" s="1">
        <f t="shared" si="12"/>
        <v>0</v>
      </c>
      <c r="J21" s="43"/>
      <c r="K21" s="43">
        <f t="shared" si="4"/>
        <v>0</v>
      </c>
      <c r="L21" s="43"/>
      <c r="M21" s="1">
        <f t="shared" si="5"/>
        <v>0</v>
      </c>
      <c r="N21" s="43"/>
      <c r="O21" s="1">
        <f t="shared" si="6"/>
        <v>0</v>
      </c>
      <c r="P21" s="1">
        <f t="shared" si="7"/>
        <v>7065.24</v>
      </c>
      <c r="Q21" s="43">
        <v>4551.8900000000003</v>
      </c>
      <c r="R21" s="44">
        <f t="shared" si="8"/>
        <v>64.42654460428804</v>
      </c>
      <c r="S21" s="45"/>
      <c r="T21" s="1">
        <f t="shared" si="9"/>
        <v>0</v>
      </c>
      <c r="U21" s="43"/>
      <c r="V21" s="46" t="e">
        <f t="shared" si="10"/>
        <v>#DIV/0!</v>
      </c>
    </row>
    <row r="22" spans="1:22" ht="15" customHeight="1" x14ac:dyDescent="0.25">
      <c r="A22" s="42">
        <v>17</v>
      </c>
      <c r="B22" s="43">
        <v>42</v>
      </c>
      <c r="C22" s="1">
        <f t="shared" si="2"/>
        <v>1630.44</v>
      </c>
      <c r="D22" s="43">
        <v>62</v>
      </c>
      <c r="E22" s="1">
        <f t="shared" si="3"/>
        <v>4813.68</v>
      </c>
      <c r="F22" s="43">
        <v>54</v>
      </c>
      <c r="G22" s="1">
        <f t="shared" si="11"/>
        <v>4192.5600000000004</v>
      </c>
      <c r="H22" s="43"/>
      <c r="I22" s="1">
        <f t="shared" si="12"/>
        <v>0</v>
      </c>
      <c r="J22" s="43"/>
      <c r="K22" s="43">
        <f t="shared" si="4"/>
        <v>0</v>
      </c>
      <c r="L22" s="43">
        <v>1</v>
      </c>
      <c r="M22" s="1">
        <f t="shared" si="5"/>
        <v>78</v>
      </c>
      <c r="N22" s="43"/>
      <c r="O22" s="1">
        <f t="shared" si="6"/>
        <v>0</v>
      </c>
      <c r="P22" s="1">
        <f t="shared" si="7"/>
        <v>10714.680000000002</v>
      </c>
      <c r="Q22" s="43">
        <v>5555.04</v>
      </c>
      <c r="R22" s="44">
        <f t="shared" si="8"/>
        <v>51.845132099138745</v>
      </c>
      <c r="S22" s="45"/>
      <c r="T22" s="1">
        <f t="shared" si="9"/>
        <v>0</v>
      </c>
      <c r="U22" s="43"/>
      <c r="V22" s="46" t="e">
        <f t="shared" si="10"/>
        <v>#DIV/0!</v>
      </c>
    </row>
    <row r="23" spans="1:22" ht="15" customHeight="1" x14ac:dyDescent="0.25">
      <c r="A23" s="42">
        <v>18</v>
      </c>
      <c r="B23" s="43">
        <v>40</v>
      </c>
      <c r="C23" s="1">
        <f t="shared" si="2"/>
        <v>1552.8</v>
      </c>
      <c r="D23" s="43">
        <v>69</v>
      </c>
      <c r="E23" s="1">
        <f t="shared" si="3"/>
        <v>5357.16</v>
      </c>
      <c r="F23" s="43">
        <f>133+9</f>
        <v>142</v>
      </c>
      <c r="G23" s="1">
        <f t="shared" si="11"/>
        <v>11024.88</v>
      </c>
      <c r="H23" s="43"/>
      <c r="I23" s="1">
        <f t="shared" si="12"/>
        <v>0</v>
      </c>
      <c r="J23" s="43"/>
      <c r="K23" s="43">
        <f t="shared" si="4"/>
        <v>0</v>
      </c>
      <c r="L23" s="43">
        <v>1</v>
      </c>
      <c r="M23" s="1">
        <f t="shared" si="5"/>
        <v>78</v>
      </c>
      <c r="N23" s="43">
        <v>1</v>
      </c>
      <c r="O23" s="1">
        <f t="shared" si="6"/>
        <v>28</v>
      </c>
      <c r="P23" s="1">
        <f t="shared" si="7"/>
        <v>18040.84</v>
      </c>
      <c r="Q23" s="43">
        <v>7738.89</v>
      </c>
      <c r="R23" s="44">
        <f t="shared" si="8"/>
        <v>42.896505927661906</v>
      </c>
      <c r="S23" s="45"/>
      <c r="T23" s="1">
        <f t="shared" si="9"/>
        <v>0</v>
      </c>
      <c r="U23" s="43"/>
      <c r="V23" s="46" t="e">
        <f t="shared" si="10"/>
        <v>#DIV/0!</v>
      </c>
    </row>
    <row r="24" spans="1:22" ht="15" customHeight="1" x14ac:dyDescent="0.25">
      <c r="A24" s="42">
        <v>19</v>
      </c>
      <c r="B24" s="43">
        <v>69</v>
      </c>
      <c r="C24" s="1">
        <f t="shared" si="2"/>
        <v>2678.58</v>
      </c>
      <c r="D24" s="43">
        <v>52</v>
      </c>
      <c r="E24" s="1">
        <f t="shared" si="3"/>
        <v>4037.28</v>
      </c>
      <c r="F24" s="43">
        <f>120+5</f>
        <v>125</v>
      </c>
      <c r="G24" s="1">
        <f t="shared" si="11"/>
        <v>9705</v>
      </c>
      <c r="H24" s="43">
        <v>3</v>
      </c>
      <c r="I24" s="1">
        <f t="shared" si="12"/>
        <v>126</v>
      </c>
      <c r="J24" s="43"/>
      <c r="K24" s="43">
        <f t="shared" si="4"/>
        <v>0</v>
      </c>
      <c r="L24" s="43">
        <v>2</v>
      </c>
      <c r="M24" s="1">
        <f t="shared" si="5"/>
        <v>156</v>
      </c>
      <c r="N24" s="43"/>
      <c r="O24" s="1">
        <f t="shared" si="6"/>
        <v>0</v>
      </c>
      <c r="P24" s="1">
        <f t="shared" si="7"/>
        <v>16702.86</v>
      </c>
      <c r="Q24" s="43">
        <v>7533.73</v>
      </c>
      <c r="R24" s="44">
        <f t="shared" si="8"/>
        <v>45.104431217168795</v>
      </c>
      <c r="S24" s="45"/>
      <c r="T24" s="1">
        <f t="shared" si="9"/>
        <v>0</v>
      </c>
      <c r="U24" s="43"/>
      <c r="V24" s="46" t="e">
        <f t="shared" si="10"/>
        <v>#DIV/0!</v>
      </c>
    </row>
    <row r="25" spans="1:22" ht="15" customHeight="1" x14ac:dyDescent="0.25">
      <c r="A25" s="42">
        <v>20</v>
      </c>
      <c r="B25" s="43">
        <v>62</v>
      </c>
      <c r="C25" s="1">
        <f t="shared" si="2"/>
        <v>2406.84</v>
      </c>
      <c r="D25" s="43">
        <v>62</v>
      </c>
      <c r="E25" s="1">
        <f t="shared" si="3"/>
        <v>4813.68</v>
      </c>
      <c r="F25" s="43">
        <f>116+5</f>
        <v>121</v>
      </c>
      <c r="G25" s="1">
        <f t="shared" si="11"/>
        <v>9394.44</v>
      </c>
      <c r="H25" s="43">
        <v>9</v>
      </c>
      <c r="I25" s="1">
        <f t="shared" si="12"/>
        <v>378</v>
      </c>
      <c r="J25" s="43"/>
      <c r="K25" s="43">
        <f t="shared" si="4"/>
        <v>0</v>
      </c>
      <c r="L25" s="43">
        <v>2</v>
      </c>
      <c r="M25" s="1">
        <f t="shared" si="5"/>
        <v>156</v>
      </c>
      <c r="N25" s="43">
        <v>1</v>
      </c>
      <c r="O25" s="1">
        <f t="shared" si="6"/>
        <v>28</v>
      </c>
      <c r="P25" s="1">
        <f t="shared" si="7"/>
        <v>17176.96</v>
      </c>
      <c r="Q25" s="43">
        <v>7513.47</v>
      </c>
      <c r="R25" s="44">
        <f t="shared" si="8"/>
        <v>43.741558459704166</v>
      </c>
      <c r="S25" s="45">
        <v>60</v>
      </c>
      <c r="T25" s="1">
        <f t="shared" si="9"/>
        <v>864.6</v>
      </c>
      <c r="U25" s="43">
        <v>413.74</v>
      </c>
      <c r="V25" s="46">
        <f t="shared" si="10"/>
        <v>47.853342586167017</v>
      </c>
    </row>
    <row r="26" spans="1:22" ht="15" customHeight="1" x14ac:dyDescent="0.25">
      <c r="A26" s="42">
        <v>21</v>
      </c>
      <c r="B26" s="43">
        <v>46</v>
      </c>
      <c r="C26" s="1">
        <f t="shared" si="2"/>
        <v>1785.72</v>
      </c>
      <c r="D26" s="43">
        <v>61</v>
      </c>
      <c r="E26" s="1">
        <f t="shared" si="3"/>
        <v>4736.04</v>
      </c>
      <c r="F26" s="43">
        <f>129+6</f>
        <v>135</v>
      </c>
      <c r="G26" s="1">
        <f t="shared" si="11"/>
        <v>10481.4</v>
      </c>
      <c r="H26" s="43"/>
      <c r="I26" s="1">
        <f t="shared" si="12"/>
        <v>0</v>
      </c>
      <c r="J26" s="43"/>
      <c r="K26" s="43">
        <f t="shared" si="4"/>
        <v>0</v>
      </c>
      <c r="L26" s="43"/>
      <c r="M26" s="1">
        <f t="shared" si="5"/>
        <v>0</v>
      </c>
      <c r="N26" s="43"/>
      <c r="O26" s="1">
        <f t="shared" si="6"/>
        <v>0</v>
      </c>
      <c r="P26" s="1">
        <f t="shared" si="7"/>
        <v>17003.16</v>
      </c>
      <c r="Q26" s="43">
        <v>8247.19</v>
      </c>
      <c r="R26" s="44">
        <f t="shared" si="8"/>
        <v>48.503866340139126</v>
      </c>
      <c r="S26" s="45">
        <v>64</v>
      </c>
      <c r="T26" s="1">
        <f t="shared" si="9"/>
        <v>922.24</v>
      </c>
      <c r="U26" s="43">
        <v>444.18</v>
      </c>
      <c r="V26" s="46">
        <f t="shared" si="10"/>
        <v>48.163167938931302</v>
      </c>
    </row>
    <row r="27" spans="1:22" ht="15" customHeight="1" x14ac:dyDescent="0.25">
      <c r="A27" s="42">
        <v>22</v>
      </c>
      <c r="B27" s="43">
        <v>65</v>
      </c>
      <c r="C27" s="1">
        <f t="shared" si="2"/>
        <v>2523.3000000000002</v>
      </c>
      <c r="D27" s="43">
        <v>46</v>
      </c>
      <c r="E27" s="1">
        <f t="shared" si="3"/>
        <v>3571.44</v>
      </c>
      <c r="F27" s="43">
        <v>77</v>
      </c>
      <c r="G27" s="1">
        <f t="shared" si="11"/>
        <v>5978.28</v>
      </c>
      <c r="H27" s="43"/>
      <c r="I27" s="1">
        <f t="shared" si="12"/>
        <v>0</v>
      </c>
      <c r="J27" s="43"/>
      <c r="K27" s="43">
        <f t="shared" si="4"/>
        <v>0</v>
      </c>
      <c r="L27" s="43"/>
      <c r="M27" s="1">
        <f t="shared" si="5"/>
        <v>0</v>
      </c>
      <c r="N27" s="43"/>
      <c r="O27" s="1">
        <f t="shared" si="6"/>
        <v>0</v>
      </c>
      <c r="P27" s="1">
        <f t="shared" si="7"/>
        <v>12073.02</v>
      </c>
      <c r="Q27" s="43">
        <v>5004.25</v>
      </c>
      <c r="R27" s="44">
        <f t="shared" si="8"/>
        <v>41.449860929576857</v>
      </c>
      <c r="S27" s="45"/>
      <c r="T27" s="1">
        <f t="shared" si="9"/>
        <v>0</v>
      </c>
      <c r="U27" s="43"/>
      <c r="V27" s="46" t="e">
        <f t="shared" si="10"/>
        <v>#DIV/0!</v>
      </c>
    </row>
    <row r="28" spans="1:22" ht="15" customHeight="1" x14ac:dyDescent="0.25">
      <c r="A28" s="42">
        <v>23</v>
      </c>
      <c r="B28" s="43">
        <v>38</v>
      </c>
      <c r="C28" s="1">
        <f t="shared" si="2"/>
        <v>1475.16</v>
      </c>
      <c r="D28" s="43">
        <v>44</v>
      </c>
      <c r="E28" s="1">
        <f t="shared" si="3"/>
        <v>3416.16</v>
      </c>
      <c r="F28" s="43">
        <f>88+6</f>
        <v>94</v>
      </c>
      <c r="G28" s="1">
        <f t="shared" si="11"/>
        <v>7298.16</v>
      </c>
      <c r="H28" s="43"/>
      <c r="I28" s="1">
        <f t="shared" si="12"/>
        <v>0</v>
      </c>
      <c r="J28" s="43"/>
      <c r="K28" s="43">
        <f t="shared" si="4"/>
        <v>0</v>
      </c>
      <c r="L28" s="43"/>
      <c r="M28" s="1">
        <f t="shared" si="5"/>
        <v>0</v>
      </c>
      <c r="N28" s="43"/>
      <c r="O28" s="1">
        <f t="shared" si="6"/>
        <v>0</v>
      </c>
      <c r="P28" s="1">
        <f t="shared" si="7"/>
        <v>12189.48</v>
      </c>
      <c r="Q28" s="43">
        <v>4738.74</v>
      </c>
      <c r="R28" s="44">
        <f t="shared" si="8"/>
        <v>38.87565343230392</v>
      </c>
      <c r="S28" s="45"/>
      <c r="T28" s="1">
        <f t="shared" si="9"/>
        <v>0</v>
      </c>
      <c r="U28" s="43"/>
      <c r="V28" s="46" t="e">
        <f t="shared" si="10"/>
        <v>#DIV/0!</v>
      </c>
    </row>
    <row r="29" spans="1:22" ht="15.6" customHeight="1" x14ac:dyDescent="0.25">
      <c r="A29" s="42">
        <v>24</v>
      </c>
      <c r="B29" s="43">
        <v>55</v>
      </c>
      <c r="C29" s="1">
        <f t="shared" si="2"/>
        <v>2135.1</v>
      </c>
      <c r="D29" s="43">
        <f>26+6</f>
        <v>32</v>
      </c>
      <c r="E29" s="1">
        <f t="shared" si="3"/>
        <v>2484.48</v>
      </c>
      <c r="F29" s="43">
        <f>58+9</f>
        <v>67</v>
      </c>
      <c r="G29" s="1">
        <f t="shared" si="11"/>
        <v>5201.88</v>
      </c>
      <c r="H29" s="43"/>
      <c r="I29" s="1">
        <f t="shared" si="12"/>
        <v>0</v>
      </c>
      <c r="J29" s="43"/>
      <c r="K29" s="43">
        <f t="shared" si="4"/>
        <v>0</v>
      </c>
      <c r="L29" s="43"/>
      <c r="M29" s="1">
        <f t="shared" si="5"/>
        <v>0</v>
      </c>
      <c r="N29" s="43"/>
      <c r="O29" s="1">
        <f t="shared" si="6"/>
        <v>0</v>
      </c>
      <c r="P29" s="1">
        <f t="shared" si="7"/>
        <v>9821.4600000000009</v>
      </c>
      <c r="Q29" s="43">
        <v>4361.5</v>
      </c>
      <c r="R29" s="44">
        <f t="shared" si="8"/>
        <v>44.407857894854729</v>
      </c>
      <c r="S29" s="45"/>
      <c r="T29" s="1">
        <f t="shared" si="9"/>
        <v>0</v>
      </c>
      <c r="U29" s="43"/>
      <c r="V29" s="46" t="e">
        <f t="shared" si="10"/>
        <v>#DIV/0!</v>
      </c>
    </row>
    <row r="30" spans="1:22" ht="15" customHeight="1" x14ac:dyDescent="0.25">
      <c r="A30" s="42">
        <v>25</v>
      </c>
      <c r="B30" s="43">
        <v>47</v>
      </c>
      <c r="C30" s="1">
        <f t="shared" si="2"/>
        <v>1824.54</v>
      </c>
      <c r="D30" s="43">
        <f>60+9</f>
        <v>69</v>
      </c>
      <c r="E30" s="1">
        <f t="shared" si="3"/>
        <v>5357.16</v>
      </c>
      <c r="F30" s="43">
        <f>185+5</f>
        <v>190</v>
      </c>
      <c r="G30" s="1">
        <f t="shared" si="11"/>
        <v>14751.6</v>
      </c>
      <c r="H30" s="43"/>
      <c r="I30" s="1">
        <f t="shared" si="12"/>
        <v>0</v>
      </c>
      <c r="J30" s="43"/>
      <c r="K30" s="43">
        <f t="shared" si="4"/>
        <v>0</v>
      </c>
      <c r="L30" s="43"/>
      <c r="M30" s="1">
        <f t="shared" si="5"/>
        <v>0</v>
      </c>
      <c r="N30" s="43">
        <v>18</v>
      </c>
      <c r="O30" s="1">
        <f t="shared" si="6"/>
        <v>504</v>
      </c>
      <c r="P30" s="1">
        <f t="shared" si="7"/>
        <v>22437.300000000003</v>
      </c>
      <c r="Q30" s="50">
        <v>8885.98</v>
      </c>
      <c r="R30" s="44">
        <f t="shared" si="8"/>
        <v>39.603606494542568</v>
      </c>
      <c r="S30" s="45">
        <v>17</v>
      </c>
      <c r="T30" s="1">
        <f t="shared" si="9"/>
        <v>244.97</v>
      </c>
      <c r="U30" s="43"/>
      <c r="V30" s="46">
        <f t="shared" si="10"/>
        <v>0</v>
      </c>
    </row>
    <row r="31" spans="1:22" ht="15" customHeight="1" x14ac:dyDescent="0.25">
      <c r="A31" s="42">
        <v>26</v>
      </c>
      <c r="B31" s="43">
        <v>70</v>
      </c>
      <c r="C31" s="1">
        <f t="shared" si="2"/>
        <v>2717.4</v>
      </c>
      <c r="D31" s="43">
        <f>69+5</f>
        <v>74</v>
      </c>
      <c r="E31" s="1">
        <f t="shared" si="3"/>
        <v>5745.36</v>
      </c>
      <c r="F31" s="43">
        <f>163+5</f>
        <v>168</v>
      </c>
      <c r="G31" s="1">
        <f t="shared" si="11"/>
        <v>13043.52</v>
      </c>
      <c r="H31" s="43"/>
      <c r="I31" s="1">
        <f t="shared" si="12"/>
        <v>0</v>
      </c>
      <c r="J31" s="43"/>
      <c r="K31" s="43">
        <f t="shared" si="4"/>
        <v>0</v>
      </c>
      <c r="L31" s="43"/>
      <c r="M31" s="1">
        <f t="shared" si="5"/>
        <v>0</v>
      </c>
      <c r="N31" s="43">
        <v>11</v>
      </c>
      <c r="O31" s="1">
        <f t="shared" si="6"/>
        <v>308</v>
      </c>
      <c r="P31" s="1">
        <f t="shared" si="7"/>
        <v>21814.280000000002</v>
      </c>
      <c r="Q31" s="43">
        <v>8867.8799999999992</v>
      </c>
      <c r="R31" s="44">
        <f t="shared" si="8"/>
        <v>40.651719882572323</v>
      </c>
      <c r="S31" s="45">
        <v>10</v>
      </c>
      <c r="T31" s="1">
        <f t="shared" si="9"/>
        <v>144.1</v>
      </c>
      <c r="U31" s="43"/>
      <c r="V31" s="46">
        <f t="shared" si="10"/>
        <v>0</v>
      </c>
    </row>
    <row r="32" spans="1:22" ht="15" customHeight="1" x14ac:dyDescent="0.25">
      <c r="A32" s="42">
        <v>27</v>
      </c>
      <c r="B32" s="43">
        <v>57</v>
      </c>
      <c r="C32" s="1">
        <f t="shared" si="2"/>
        <v>2212.7400000000002</v>
      </c>
      <c r="D32" s="43">
        <f>90+4</f>
        <v>94</v>
      </c>
      <c r="E32" s="1">
        <f t="shared" si="3"/>
        <v>7298.16</v>
      </c>
      <c r="F32" s="43">
        <f>146+5</f>
        <v>151</v>
      </c>
      <c r="G32" s="1">
        <f t="shared" si="11"/>
        <v>11723.64</v>
      </c>
      <c r="H32" s="43"/>
      <c r="I32" s="1">
        <f t="shared" si="12"/>
        <v>0</v>
      </c>
      <c r="J32" s="43"/>
      <c r="K32" s="43">
        <f t="shared" si="4"/>
        <v>0</v>
      </c>
      <c r="L32" s="43">
        <v>18</v>
      </c>
      <c r="M32" s="1">
        <f t="shared" si="5"/>
        <v>1404</v>
      </c>
      <c r="N32" s="43">
        <v>4</v>
      </c>
      <c r="O32" s="1">
        <f t="shared" si="6"/>
        <v>112</v>
      </c>
      <c r="P32" s="1">
        <f t="shared" si="7"/>
        <v>22750.54</v>
      </c>
      <c r="Q32" s="43">
        <v>9548.5400000000009</v>
      </c>
      <c r="R32" s="44">
        <f t="shared" si="8"/>
        <v>41.970608170179702</v>
      </c>
      <c r="S32" s="45"/>
      <c r="T32" s="1">
        <f t="shared" si="9"/>
        <v>0</v>
      </c>
      <c r="U32" s="43"/>
      <c r="V32" s="46" t="e">
        <f t="shared" si="10"/>
        <v>#DIV/0!</v>
      </c>
    </row>
    <row r="33" spans="1:22" ht="15" customHeight="1" x14ac:dyDescent="0.25">
      <c r="A33" s="42">
        <v>28</v>
      </c>
      <c r="B33" s="43">
        <v>60</v>
      </c>
      <c r="C33" s="1">
        <f t="shared" si="2"/>
        <v>2329.1999999999998</v>
      </c>
      <c r="D33" s="43">
        <f>53+5</f>
        <v>58</v>
      </c>
      <c r="E33" s="1">
        <f t="shared" si="3"/>
        <v>4503.12</v>
      </c>
      <c r="F33" s="43">
        <f>143+6</f>
        <v>149</v>
      </c>
      <c r="G33" s="1">
        <f t="shared" si="11"/>
        <v>11568.36</v>
      </c>
      <c r="H33" s="43"/>
      <c r="I33" s="1">
        <f t="shared" si="12"/>
        <v>0</v>
      </c>
      <c r="J33" s="43"/>
      <c r="K33" s="43">
        <f t="shared" si="4"/>
        <v>0</v>
      </c>
      <c r="L33" s="43"/>
      <c r="M33" s="1">
        <f t="shared" si="5"/>
        <v>0</v>
      </c>
      <c r="N33" s="43">
        <v>6</v>
      </c>
      <c r="O33" s="1">
        <f t="shared" si="6"/>
        <v>168</v>
      </c>
      <c r="P33" s="1">
        <f t="shared" si="7"/>
        <v>18568.68</v>
      </c>
      <c r="Q33" s="43">
        <v>8500.1299999999992</v>
      </c>
      <c r="R33" s="44">
        <f>+Q33/P33*100</f>
        <v>45.776705721677573</v>
      </c>
      <c r="S33" s="45">
        <v>6</v>
      </c>
      <c r="T33" s="1">
        <f t="shared" si="9"/>
        <v>86.460000000000008</v>
      </c>
      <c r="U33" s="43"/>
      <c r="V33" s="46">
        <f t="shared" si="10"/>
        <v>0</v>
      </c>
    </row>
    <row r="34" spans="1:22" ht="15" customHeight="1" x14ac:dyDescent="0.25">
      <c r="A34" s="42">
        <v>29</v>
      </c>
      <c r="B34" s="43">
        <v>78</v>
      </c>
      <c r="C34" s="1">
        <f t="shared" si="2"/>
        <v>3027.96</v>
      </c>
      <c r="D34" s="43">
        <f>39+5</f>
        <v>44</v>
      </c>
      <c r="E34" s="1">
        <f t="shared" si="3"/>
        <v>3416.16</v>
      </c>
      <c r="F34" s="43">
        <f>61+8</f>
        <v>69</v>
      </c>
      <c r="G34" s="1">
        <f t="shared" si="11"/>
        <v>5357.16</v>
      </c>
      <c r="H34" s="43"/>
      <c r="I34" s="1">
        <f t="shared" si="12"/>
        <v>0</v>
      </c>
      <c r="J34" s="43"/>
      <c r="K34" s="43">
        <f t="shared" si="4"/>
        <v>0</v>
      </c>
      <c r="L34" s="43"/>
      <c r="M34" s="1">
        <f t="shared" si="5"/>
        <v>0</v>
      </c>
      <c r="N34" s="43"/>
      <c r="O34" s="1">
        <f t="shared" si="6"/>
        <v>0</v>
      </c>
      <c r="P34" s="1">
        <f t="shared" si="7"/>
        <v>11801.279999999999</v>
      </c>
      <c r="Q34" s="43">
        <v>4992.4799999999996</v>
      </c>
      <c r="R34" s="44">
        <f t="shared" si="8"/>
        <v>42.304563572764984</v>
      </c>
      <c r="S34" s="45"/>
      <c r="T34" s="1">
        <f t="shared" si="9"/>
        <v>0</v>
      </c>
      <c r="U34" s="43"/>
      <c r="V34" s="46" t="e">
        <f t="shared" si="10"/>
        <v>#DIV/0!</v>
      </c>
    </row>
    <row r="35" spans="1:22" ht="15" customHeight="1" x14ac:dyDescent="0.25">
      <c r="A35" s="42">
        <v>30</v>
      </c>
      <c r="B35" s="43">
        <v>45</v>
      </c>
      <c r="C35" s="1">
        <f t="shared" si="2"/>
        <v>1746.9</v>
      </c>
      <c r="D35" s="43">
        <v>37</v>
      </c>
      <c r="E35" s="1">
        <f t="shared" si="3"/>
        <v>2872.68</v>
      </c>
      <c r="F35" s="43">
        <v>72</v>
      </c>
      <c r="G35" s="1">
        <f t="shared" si="11"/>
        <v>5590.08</v>
      </c>
      <c r="H35" s="43"/>
      <c r="I35" s="1">
        <f t="shared" si="12"/>
        <v>0</v>
      </c>
      <c r="J35" s="43"/>
      <c r="K35" s="43">
        <f t="shared" si="4"/>
        <v>0</v>
      </c>
      <c r="L35" s="43"/>
      <c r="M35" s="1">
        <f t="shared" si="5"/>
        <v>0</v>
      </c>
      <c r="N35" s="43"/>
      <c r="O35" s="1">
        <f t="shared" si="6"/>
        <v>0</v>
      </c>
      <c r="P35" s="1">
        <f t="shared" si="7"/>
        <v>10209.66</v>
      </c>
      <c r="Q35" s="43">
        <v>5523.03</v>
      </c>
      <c r="R35" s="44">
        <f t="shared" si="8"/>
        <v>54.096120732717836</v>
      </c>
      <c r="S35" s="45"/>
      <c r="T35" s="1">
        <f t="shared" si="9"/>
        <v>0</v>
      </c>
      <c r="U35" s="43"/>
      <c r="V35" s="46" t="e">
        <f t="shared" si="10"/>
        <v>#DIV/0!</v>
      </c>
    </row>
    <row r="36" spans="1:22" ht="15" customHeight="1" x14ac:dyDescent="0.25">
      <c r="A36" s="42">
        <v>31</v>
      </c>
      <c r="B36" s="43">
        <v>53</v>
      </c>
      <c r="C36" s="1">
        <f t="shared" si="2"/>
        <v>2057.46</v>
      </c>
      <c r="D36" s="43">
        <v>31</v>
      </c>
      <c r="E36" s="1">
        <f t="shared" si="3"/>
        <v>2406.84</v>
      </c>
      <c r="F36" s="43">
        <v>57</v>
      </c>
      <c r="G36" s="1">
        <f t="shared" si="11"/>
        <v>4425.4800000000005</v>
      </c>
      <c r="H36" s="43"/>
      <c r="I36" s="1">
        <f t="shared" si="12"/>
        <v>0</v>
      </c>
      <c r="J36" s="43"/>
      <c r="K36" s="43">
        <f t="shared" si="4"/>
        <v>0</v>
      </c>
      <c r="L36" s="43"/>
      <c r="M36" s="1">
        <f t="shared" si="5"/>
        <v>0</v>
      </c>
      <c r="N36" s="43"/>
      <c r="O36" s="1">
        <f t="shared" si="6"/>
        <v>0</v>
      </c>
      <c r="P36" s="1">
        <f t="shared" si="7"/>
        <v>8889.7800000000007</v>
      </c>
      <c r="Q36" s="43">
        <v>5163.67</v>
      </c>
      <c r="R36" s="44">
        <f t="shared" si="8"/>
        <v>58.085464432190669</v>
      </c>
      <c r="S36" s="45"/>
      <c r="T36" s="1">
        <f t="shared" si="9"/>
        <v>0</v>
      </c>
      <c r="U36" s="43"/>
      <c r="V36" s="46" t="e">
        <f t="shared" si="10"/>
        <v>#DIV/0!</v>
      </c>
    </row>
    <row r="37" spans="1:22" ht="36.75" customHeight="1" thickBot="1" x14ac:dyDescent="0.3">
      <c r="A37" s="4" t="s">
        <v>7</v>
      </c>
      <c r="B37" s="5">
        <f t="shared" ref="B37:O37" si="13">SUM(B6:B36)</f>
        <v>1573</v>
      </c>
      <c r="C37" s="7">
        <f t="shared" si="13"/>
        <v>61063.860000000008</v>
      </c>
      <c r="D37" s="5">
        <f t="shared" si="13"/>
        <v>1552</v>
      </c>
      <c r="E37" s="7">
        <f t="shared" si="13"/>
        <v>120497.27999999998</v>
      </c>
      <c r="F37" s="5">
        <f t="shared" si="13"/>
        <v>2927</v>
      </c>
      <c r="G37" s="7">
        <f t="shared" si="13"/>
        <v>227252.28</v>
      </c>
      <c r="H37" s="5">
        <f t="shared" si="13"/>
        <v>12</v>
      </c>
      <c r="I37" s="5">
        <f t="shared" si="13"/>
        <v>504</v>
      </c>
      <c r="J37" s="5">
        <f t="shared" si="13"/>
        <v>0</v>
      </c>
      <c r="K37" s="5">
        <f t="shared" si="13"/>
        <v>0</v>
      </c>
      <c r="L37" s="5">
        <f t="shared" si="13"/>
        <v>27</v>
      </c>
      <c r="M37" s="5">
        <f t="shared" si="13"/>
        <v>2106</v>
      </c>
      <c r="N37" s="5">
        <f t="shared" si="13"/>
        <v>43</v>
      </c>
      <c r="O37" s="7">
        <f t="shared" si="13"/>
        <v>1204</v>
      </c>
      <c r="P37" s="7">
        <f>SUM(P6:P36)</f>
        <v>412627.42</v>
      </c>
      <c r="Q37" s="5">
        <f>SUM(Q6:Q36)</f>
        <v>184167.57000000004</v>
      </c>
      <c r="R37" s="40">
        <f>+Q37/P37*100</f>
        <v>44.632896669833535</v>
      </c>
      <c r="S37" s="5">
        <f t="shared" ref="S37:U37" si="14">SUM(S6:S36)</f>
        <v>428</v>
      </c>
      <c r="T37" s="7">
        <f t="shared" si="14"/>
        <v>6167.4800000000005</v>
      </c>
      <c r="U37" s="5">
        <f t="shared" si="14"/>
        <v>3083.14</v>
      </c>
      <c r="V37" s="41">
        <f>+U37/T37*100</f>
        <v>49.990271553373496</v>
      </c>
    </row>
    <row r="38" spans="1:22" ht="15.75" thickTop="1" x14ac:dyDescent="0.25"/>
  </sheetData>
  <sheetProtection algorithmName="SHA-512" hashValue="odjkxhpSyvNNiBSU8foZNqjxcwA/meFJzQE1PRDZsSPMCI1av4LtXtooEvoK0JxP6bF3LvOm4my+wgThDTWcKw==" saltValue="57u5KSNCI8qf8tdZpSelxg==" spinCount="100000" sheet="1" scenarios="1" sort="0" autoFilter="0"/>
  <mergeCells count="6">
    <mergeCell ref="A1:V1"/>
    <mergeCell ref="A2:V2"/>
    <mergeCell ref="A3:V3"/>
    <mergeCell ref="A4:A5"/>
    <mergeCell ref="B4:R4"/>
    <mergeCell ref="S4:V4"/>
  </mergeCells>
  <pageMargins left="0.11811023622047245" right="0.11811023622047245" top="0.35433070866141736" bottom="0.35433070866141736" header="0.31496062992125984" footer="0.31496062992125984"/>
  <pageSetup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2FFC-400D-4E8F-8183-6432C7A1C8C5}">
  <sheetPr>
    <pageSetUpPr fitToPage="1"/>
  </sheetPr>
  <dimension ref="A1:Z42"/>
  <sheetViews>
    <sheetView zoomScaleNormal="100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N37" sqref="N37"/>
    </sheetView>
  </sheetViews>
  <sheetFormatPr defaultRowHeight="15" x14ac:dyDescent="0.25"/>
  <cols>
    <col min="1" max="1" width="11.28515625" bestFit="1" customWidth="1"/>
    <col min="2" max="2" width="9" customWidth="1"/>
    <col min="3" max="3" width="6.7109375" hidden="1" customWidth="1"/>
    <col min="4" max="4" width="6.140625" customWidth="1"/>
    <col min="5" max="5" width="9" hidden="1" customWidth="1"/>
    <col min="6" max="6" width="9.140625" customWidth="1"/>
    <col min="7" max="7" width="0.140625" customWidth="1"/>
    <col min="8" max="8" width="5.85546875" bestFit="1" customWidth="1"/>
    <col min="9" max="9" width="8.5703125" customWidth="1"/>
    <col min="10" max="10" width="6.42578125" bestFit="1" customWidth="1"/>
    <col min="11" max="11" width="9.28515625" customWidth="1"/>
    <col min="12" max="12" width="8.140625" customWidth="1"/>
    <col min="13" max="13" width="9.5703125" customWidth="1"/>
    <col min="14" max="14" width="11.7109375" customWidth="1"/>
    <col min="15" max="15" width="9.28515625" customWidth="1"/>
    <col min="16" max="16" width="8.140625" style="2" bestFit="1" customWidth="1"/>
    <col min="17" max="17" width="15.140625" style="2" customWidth="1"/>
    <col min="18" max="18" width="10.7109375" style="2" customWidth="1"/>
    <col min="19" max="19" width="11.7109375" customWidth="1"/>
    <col min="20" max="20" width="8.85546875" customWidth="1"/>
    <col min="21" max="21" width="16.42578125" customWidth="1"/>
    <col min="22" max="22" width="10.140625" style="39" customWidth="1"/>
  </cols>
  <sheetData>
    <row r="1" spans="1:26" ht="18" customHeight="1" thickBot="1" x14ac:dyDescent="0.4">
      <c r="A1" s="339" t="s">
        <v>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1"/>
      <c r="Y1" s="80"/>
      <c r="Z1" s="81"/>
    </row>
    <row r="2" spans="1:26" ht="18" customHeight="1" thickBot="1" x14ac:dyDescent="0.4">
      <c r="A2" s="339" t="s">
        <v>11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1"/>
      <c r="Y2" s="82"/>
      <c r="Z2" s="83"/>
    </row>
    <row r="3" spans="1:26" ht="18" customHeight="1" thickBot="1" x14ac:dyDescent="0.4">
      <c r="A3" s="342" t="s">
        <v>23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4"/>
      <c r="Y3" s="84"/>
      <c r="Z3" s="85"/>
    </row>
    <row r="4" spans="1:26" ht="19.5" customHeight="1" thickBot="1" x14ac:dyDescent="0.35">
      <c r="A4" s="347" t="s">
        <v>26</v>
      </c>
      <c r="B4" s="349" t="s">
        <v>25</v>
      </c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50"/>
      <c r="S4" s="351" t="s">
        <v>17</v>
      </c>
      <c r="T4" s="352"/>
      <c r="U4" s="352"/>
      <c r="V4" s="352"/>
      <c r="W4" s="345" t="s">
        <v>27</v>
      </c>
      <c r="X4" s="346"/>
      <c r="Y4" s="346"/>
      <c r="Z4" s="346"/>
    </row>
    <row r="5" spans="1:26" ht="38.25" customHeight="1" thickBot="1" x14ac:dyDescent="0.3">
      <c r="A5" s="348"/>
      <c r="B5" s="66" t="s">
        <v>2</v>
      </c>
      <c r="C5" s="67" t="s">
        <v>14</v>
      </c>
      <c r="D5" s="67" t="s">
        <v>3</v>
      </c>
      <c r="E5" s="67" t="s">
        <v>14</v>
      </c>
      <c r="F5" s="67" t="s">
        <v>4</v>
      </c>
      <c r="G5" s="68" t="s">
        <v>14</v>
      </c>
      <c r="H5" s="69" t="s">
        <v>9</v>
      </c>
      <c r="I5" s="69" t="s">
        <v>14</v>
      </c>
      <c r="J5" s="69" t="s">
        <v>12</v>
      </c>
      <c r="K5" s="69" t="s">
        <v>14</v>
      </c>
      <c r="L5" s="69" t="s">
        <v>19</v>
      </c>
      <c r="M5" s="69" t="s">
        <v>14</v>
      </c>
      <c r="N5" s="70" t="s">
        <v>5</v>
      </c>
      <c r="O5" s="69" t="s">
        <v>14</v>
      </c>
      <c r="P5" s="71" t="s">
        <v>13</v>
      </c>
      <c r="Q5" s="67" t="s">
        <v>0</v>
      </c>
      <c r="R5" s="72" t="s">
        <v>20</v>
      </c>
      <c r="S5" s="70" t="s">
        <v>21</v>
      </c>
      <c r="T5" s="71" t="s">
        <v>15</v>
      </c>
      <c r="U5" s="67" t="s">
        <v>6</v>
      </c>
      <c r="V5" s="75" t="s">
        <v>16</v>
      </c>
      <c r="W5" s="76" t="s">
        <v>27</v>
      </c>
      <c r="X5" s="77" t="s">
        <v>28</v>
      </c>
      <c r="Y5" s="79" t="s">
        <v>29</v>
      </c>
      <c r="Z5" s="79" t="s">
        <v>30</v>
      </c>
    </row>
    <row r="6" spans="1:26" ht="15" customHeight="1" x14ac:dyDescent="0.25">
      <c r="A6" s="55">
        <v>1</v>
      </c>
      <c r="B6" s="51">
        <v>47</v>
      </c>
      <c r="C6" s="52">
        <f>+B6*38.82</f>
        <v>1824.54</v>
      </c>
      <c r="D6" s="51">
        <v>65</v>
      </c>
      <c r="E6" s="52">
        <f>+D6*77.64</f>
        <v>5046.6000000000004</v>
      </c>
      <c r="F6" s="51">
        <v>184</v>
      </c>
      <c r="G6" s="52">
        <f t="shared" ref="G6:G7" si="0">77.64*F6</f>
        <v>14285.76</v>
      </c>
      <c r="H6" s="51"/>
      <c r="I6" s="52">
        <f t="shared" ref="I6:I7" si="1">42*H6</f>
        <v>0</v>
      </c>
      <c r="J6" s="51"/>
      <c r="K6" s="52">
        <f>38*J6</f>
        <v>0</v>
      </c>
      <c r="L6" s="51"/>
      <c r="M6" s="52">
        <f>+L6*78</f>
        <v>0</v>
      </c>
      <c r="N6" s="51">
        <v>3</v>
      </c>
      <c r="O6" s="52">
        <f>+N6*28</f>
        <v>84</v>
      </c>
      <c r="P6" s="52">
        <f>+O6+M6+K6+I6+G6+E6+C6</f>
        <v>21240.9</v>
      </c>
      <c r="Q6" s="63">
        <v>5144.3500000000004</v>
      </c>
      <c r="R6" s="53">
        <f>+Q6/P6*100</f>
        <v>24.219077346063493</v>
      </c>
      <c r="S6" s="54"/>
      <c r="T6" s="52">
        <f>14.41*S6</f>
        <v>0</v>
      </c>
      <c r="U6" s="51"/>
      <c r="V6" s="53" t="e">
        <f>+U6/T6*100</f>
        <v>#DIV/0!</v>
      </c>
      <c r="W6" s="74"/>
      <c r="X6" s="78">
        <f>+W6*80</f>
        <v>0</v>
      </c>
      <c r="Y6" s="74"/>
      <c r="Z6" s="78" t="e">
        <f>+Y6/X6*100</f>
        <v>#DIV/0!</v>
      </c>
    </row>
    <row r="7" spans="1:26" ht="15" customHeight="1" x14ac:dyDescent="0.25">
      <c r="A7" s="42">
        <v>2</v>
      </c>
      <c r="B7" s="43">
        <v>89</v>
      </c>
      <c r="C7" s="52">
        <f t="shared" ref="C7:C35" si="2">+B7*38.82</f>
        <v>3454.98</v>
      </c>
      <c r="D7" s="43">
        <v>80</v>
      </c>
      <c r="E7" s="52">
        <f t="shared" ref="E7:E35" si="3">+D7*77.64</f>
        <v>6211.2</v>
      </c>
      <c r="F7" s="43">
        <v>177</v>
      </c>
      <c r="G7" s="1">
        <f t="shared" si="0"/>
        <v>13742.28</v>
      </c>
      <c r="H7" s="43"/>
      <c r="I7" s="1">
        <f t="shared" si="1"/>
        <v>0</v>
      </c>
      <c r="J7" s="43"/>
      <c r="K7" s="1">
        <f t="shared" ref="K7:K35" si="4">38*J7</f>
        <v>0</v>
      </c>
      <c r="L7" s="43"/>
      <c r="M7" s="1">
        <f t="shared" ref="M7:M35" si="5">+L7*78</f>
        <v>0</v>
      </c>
      <c r="N7" s="43">
        <v>22</v>
      </c>
      <c r="O7" s="1">
        <f t="shared" ref="O7:O35" si="6">+N7*28</f>
        <v>616</v>
      </c>
      <c r="P7" s="52">
        <f t="shared" ref="P7:P35" si="7">+O7+M7+K7+I7+G7+E7+C7</f>
        <v>24024.46</v>
      </c>
      <c r="Q7" s="64">
        <v>7762.54</v>
      </c>
      <c r="R7" s="44">
        <f t="shared" ref="R7:R35" si="8">+Q7/P7*100</f>
        <v>32.310986386374552</v>
      </c>
      <c r="S7" s="45"/>
      <c r="T7" s="1">
        <f t="shared" ref="T7:T35" si="9">14.41*S7</f>
        <v>0</v>
      </c>
      <c r="U7" s="43"/>
      <c r="V7" s="44" t="e">
        <f t="shared" ref="V7:V35" si="10">+U7/T7*100</f>
        <v>#DIV/0!</v>
      </c>
      <c r="W7" s="74"/>
      <c r="X7" s="78">
        <f t="shared" ref="X7:X35" si="11">+W7*80</f>
        <v>0</v>
      </c>
      <c r="Y7" s="74"/>
      <c r="Z7" s="78" t="e">
        <f t="shared" ref="Z7:Z36" si="12">+Y7/X7*100</f>
        <v>#DIV/0!</v>
      </c>
    </row>
    <row r="8" spans="1:26" ht="15" customHeight="1" x14ac:dyDescent="0.25">
      <c r="A8" s="42">
        <v>3</v>
      </c>
      <c r="B8" s="43">
        <v>85</v>
      </c>
      <c r="C8" s="52">
        <f t="shared" si="2"/>
        <v>3299.7</v>
      </c>
      <c r="D8" s="43">
        <v>85</v>
      </c>
      <c r="E8" s="52">
        <f t="shared" si="3"/>
        <v>6599.4</v>
      </c>
      <c r="F8" s="43">
        <v>143</v>
      </c>
      <c r="G8" s="1">
        <f>77.64*F8</f>
        <v>11102.52</v>
      </c>
      <c r="H8" s="43"/>
      <c r="I8" s="1">
        <f>42*H8</f>
        <v>0</v>
      </c>
      <c r="J8" s="43"/>
      <c r="K8" s="1">
        <f t="shared" si="4"/>
        <v>0</v>
      </c>
      <c r="L8" s="43"/>
      <c r="M8" s="1">
        <f t="shared" si="5"/>
        <v>0</v>
      </c>
      <c r="N8" s="43">
        <v>29</v>
      </c>
      <c r="O8" s="1">
        <f t="shared" si="6"/>
        <v>812</v>
      </c>
      <c r="P8" s="52">
        <f t="shared" si="7"/>
        <v>21813.62</v>
      </c>
      <c r="Q8" s="64">
        <v>5108.0200000000004</v>
      </c>
      <c r="R8" s="44">
        <f t="shared" si="8"/>
        <v>23.416654365483584</v>
      </c>
      <c r="S8" s="45">
        <v>275</v>
      </c>
      <c r="T8" s="1">
        <f t="shared" si="9"/>
        <v>3962.75</v>
      </c>
      <c r="U8" s="43">
        <v>376.81</v>
      </c>
      <c r="V8" s="44">
        <f t="shared" si="10"/>
        <v>9.5088007065800273</v>
      </c>
      <c r="W8" s="74"/>
      <c r="X8" s="78">
        <f t="shared" si="11"/>
        <v>0</v>
      </c>
      <c r="Y8" s="74"/>
      <c r="Z8" s="78" t="e">
        <f t="shared" si="12"/>
        <v>#DIV/0!</v>
      </c>
    </row>
    <row r="9" spans="1:26" ht="15" customHeight="1" x14ac:dyDescent="0.25">
      <c r="A9" s="42">
        <v>4</v>
      </c>
      <c r="B9" s="43">
        <v>58</v>
      </c>
      <c r="C9" s="52">
        <f t="shared" si="2"/>
        <v>2251.56</v>
      </c>
      <c r="D9" s="43">
        <v>65</v>
      </c>
      <c r="E9" s="52">
        <f t="shared" si="3"/>
        <v>5046.6000000000004</v>
      </c>
      <c r="F9" s="43">
        <v>178</v>
      </c>
      <c r="G9" s="1">
        <f t="shared" ref="G9:G35" si="13">77.64*F9</f>
        <v>13819.92</v>
      </c>
      <c r="H9" s="43"/>
      <c r="I9" s="1">
        <f t="shared" ref="I9:I35" si="14">42*H9</f>
        <v>0</v>
      </c>
      <c r="J9" s="43"/>
      <c r="K9" s="1">
        <f t="shared" si="4"/>
        <v>0</v>
      </c>
      <c r="L9" s="43"/>
      <c r="M9" s="1">
        <f t="shared" si="5"/>
        <v>0</v>
      </c>
      <c r="N9" s="43">
        <v>3</v>
      </c>
      <c r="O9" s="1">
        <f t="shared" si="6"/>
        <v>84</v>
      </c>
      <c r="P9" s="52">
        <f t="shared" si="7"/>
        <v>21202.080000000002</v>
      </c>
      <c r="Q9" s="64">
        <v>7650.58</v>
      </c>
      <c r="R9" s="44">
        <f t="shared" si="8"/>
        <v>36.084101182525487</v>
      </c>
      <c r="S9" s="45"/>
      <c r="T9" s="1">
        <f t="shared" si="9"/>
        <v>0</v>
      </c>
      <c r="U9" s="43"/>
      <c r="V9" s="44" t="e">
        <f t="shared" si="10"/>
        <v>#DIV/0!</v>
      </c>
      <c r="W9" s="74"/>
      <c r="X9" s="78">
        <f t="shared" si="11"/>
        <v>0</v>
      </c>
      <c r="Y9" s="74"/>
      <c r="Z9" s="78" t="e">
        <f t="shared" si="12"/>
        <v>#DIV/0!</v>
      </c>
    </row>
    <row r="10" spans="1:26" ht="15" customHeight="1" x14ac:dyDescent="0.25">
      <c r="A10" s="42">
        <v>5</v>
      </c>
      <c r="B10" s="43">
        <v>63</v>
      </c>
      <c r="C10" s="52">
        <f t="shared" si="2"/>
        <v>2445.66</v>
      </c>
      <c r="D10" s="43">
        <v>44</v>
      </c>
      <c r="E10" s="52">
        <f t="shared" si="3"/>
        <v>3416.16</v>
      </c>
      <c r="F10" s="43">
        <v>61</v>
      </c>
      <c r="G10" s="1">
        <f t="shared" si="13"/>
        <v>4736.04</v>
      </c>
      <c r="H10" s="43"/>
      <c r="I10" s="1">
        <f t="shared" si="14"/>
        <v>0</v>
      </c>
      <c r="J10" s="43"/>
      <c r="K10" s="1">
        <f t="shared" si="4"/>
        <v>0</v>
      </c>
      <c r="L10" s="43"/>
      <c r="M10" s="1">
        <f t="shared" si="5"/>
        <v>0</v>
      </c>
      <c r="N10" s="43">
        <v>2</v>
      </c>
      <c r="O10" s="1">
        <f t="shared" si="6"/>
        <v>56</v>
      </c>
      <c r="P10" s="52">
        <f t="shared" si="7"/>
        <v>10653.86</v>
      </c>
      <c r="Q10" s="64">
        <v>8926.36</v>
      </c>
      <c r="R10" s="44">
        <f t="shared" si="8"/>
        <v>83.785219629317453</v>
      </c>
      <c r="S10" s="45">
        <v>5</v>
      </c>
      <c r="T10" s="1">
        <f t="shared" si="9"/>
        <v>72.05</v>
      </c>
      <c r="U10" s="43">
        <v>135.19</v>
      </c>
      <c r="V10" s="44">
        <f t="shared" si="10"/>
        <v>187.63358778625954</v>
      </c>
      <c r="W10" s="74"/>
      <c r="X10" s="78">
        <f t="shared" si="11"/>
        <v>0</v>
      </c>
      <c r="Y10" s="74"/>
      <c r="Z10" s="78" t="e">
        <f t="shared" si="12"/>
        <v>#DIV/0!</v>
      </c>
    </row>
    <row r="11" spans="1:26" ht="15" customHeight="1" x14ac:dyDescent="0.25">
      <c r="A11" s="56">
        <v>6</v>
      </c>
      <c r="B11" s="57">
        <v>46</v>
      </c>
      <c r="C11" s="52">
        <f t="shared" si="2"/>
        <v>1785.72</v>
      </c>
      <c r="D11" s="57">
        <v>35</v>
      </c>
      <c r="E11" s="52">
        <f t="shared" si="3"/>
        <v>2717.4</v>
      </c>
      <c r="F11" s="57">
        <v>77</v>
      </c>
      <c r="G11" s="1">
        <f t="shared" si="13"/>
        <v>5978.28</v>
      </c>
      <c r="H11" s="43"/>
      <c r="I11" s="1">
        <f t="shared" si="14"/>
        <v>0</v>
      </c>
      <c r="J11" s="43"/>
      <c r="K11" s="1">
        <f t="shared" si="4"/>
        <v>0</v>
      </c>
      <c r="L11" s="43"/>
      <c r="M11" s="1">
        <f t="shared" si="5"/>
        <v>0</v>
      </c>
      <c r="N11" s="43">
        <v>9</v>
      </c>
      <c r="O11" s="1">
        <f t="shared" si="6"/>
        <v>252</v>
      </c>
      <c r="P11" s="52">
        <f t="shared" si="7"/>
        <v>10733.4</v>
      </c>
      <c r="Q11" s="64">
        <v>8721.3700000000008</v>
      </c>
      <c r="R11" s="44">
        <f t="shared" si="8"/>
        <v>81.25449531369371</v>
      </c>
      <c r="S11" s="45">
        <v>3</v>
      </c>
      <c r="T11" s="1">
        <f t="shared" si="9"/>
        <v>43.230000000000004</v>
      </c>
      <c r="U11" s="43"/>
      <c r="V11" s="44">
        <f t="shared" si="10"/>
        <v>0</v>
      </c>
      <c r="W11" s="74"/>
      <c r="X11" s="78">
        <f t="shared" si="11"/>
        <v>0</v>
      </c>
      <c r="Y11" s="74"/>
      <c r="Z11" s="78" t="e">
        <f t="shared" si="12"/>
        <v>#DIV/0!</v>
      </c>
    </row>
    <row r="12" spans="1:26" ht="15" customHeight="1" x14ac:dyDescent="0.25">
      <c r="A12" s="56">
        <v>7</v>
      </c>
      <c r="B12" s="57">
        <v>48</v>
      </c>
      <c r="C12" s="52">
        <f t="shared" si="2"/>
        <v>1863.3600000000001</v>
      </c>
      <c r="D12" s="57">
        <v>32</v>
      </c>
      <c r="E12" s="52">
        <f t="shared" si="3"/>
        <v>2484.48</v>
      </c>
      <c r="F12" s="57">
        <v>65</v>
      </c>
      <c r="G12" s="1">
        <f t="shared" si="13"/>
        <v>5046.6000000000004</v>
      </c>
      <c r="H12" s="43"/>
      <c r="I12" s="1">
        <f t="shared" si="14"/>
        <v>0</v>
      </c>
      <c r="J12" s="43"/>
      <c r="K12" s="1">
        <f t="shared" si="4"/>
        <v>0</v>
      </c>
      <c r="L12" s="43"/>
      <c r="M12" s="1">
        <f t="shared" si="5"/>
        <v>0</v>
      </c>
      <c r="N12" s="43">
        <v>2</v>
      </c>
      <c r="O12" s="1">
        <f t="shared" si="6"/>
        <v>56</v>
      </c>
      <c r="P12" s="52">
        <f t="shared" si="7"/>
        <v>9450.44</v>
      </c>
      <c r="Q12" s="64">
        <v>9349.33</v>
      </c>
      <c r="R12" s="44">
        <f t="shared" si="8"/>
        <v>98.930102725375747</v>
      </c>
      <c r="S12" s="45"/>
      <c r="T12" s="1">
        <f t="shared" si="9"/>
        <v>0</v>
      </c>
      <c r="U12" s="43"/>
      <c r="V12" s="44" t="e">
        <f t="shared" si="10"/>
        <v>#DIV/0!</v>
      </c>
      <c r="W12" s="74"/>
      <c r="X12" s="78">
        <f t="shared" si="11"/>
        <v>0</v>
      </c>
      <c r="Y12" s="74"/>
      <c r="Z12" s="78" t="e">
        <f t="shared" si="12"/>
        <v>#DIV/0!</v>
      </c>
    </row>
    <row r="13" spans="1:26" ht="15" customHeight="1" x14ac:dyDescent="0.25">
      <c r="A13" s="47">
        <v>8</v>
      </c>
      <c r="B13" s="48">
        <v>58</v>
      </c>
      <c r="C13" s="52">
        <f t="shared" si="2"/>
        <v>2251.56</v>
      </c>
      <c r="D13" s="48">
        <v>98</v>
      </c>
      <c r="E13" s="52">
        <f t="shared" si="3"/>
        <v>7608.72</v>
      </c>
      <c r="F13" s="48">
        <v>163</v>
      </c>
      <c r="G13" s="49">
        <f t="shared" si="13"/>
        <v>12655.32</v>
      </c>
      <c r="H13" s="48"/>
      <c r="I13" s="49">
        <f t="shared" si="14"/>
        <v>0</v>
      </c>
      <c r="J13" s="48"/>
      <c r="K13" s="49">
        <f t="shared" si="4"/>
        <v>0</v>
      </c>
      <c r="L13" s="43"/>
      <c r="M13" s="1">
        <f t="shared" si="5"/>
        <v>0</v>
      </c>
      <c r="N13" s="43">
        <v>15</v>
      </c>
      <c r="O13" s="1">
        <f t="shared" si="6"/>
        <v>420</v>
      </c>
      <c r="P13" s="52">
        <f t="shared" si="7"/>
        <v>22935.600000000002</v>
      </c>
      <c r="Q13" s="64">
        <v>9090.5300000000007</v>
      </c>
      <c r="R13" s="44">
        <f t="shared" si="8"/>
        <v>39.635021538568857</v>
      </c>
      <c r="S13" s="45">
        <v>7</v>
      </c>
      <c r="T13" s="1">
        <f t="shared" si="9"/>
        <v>100.87</v>
      </c>
      <c r="U13" s="43"/>
      <c r="V13" s="44">
        <f t="shared" si="10"/>
        <v>0</v>
      </c>
      <c r="W13" s="74"/>
      <c r="X13" s="78">
        <f t="shared" si="11"/>
        <v>0</v>
      </c>
      <c r="Y13" s="74"/>
      <c r="Z13" s="78" t="e">
        <f t="shared" si="12"/>
        <v>#DIV/0!</v>
      </c>
    </row>
    <row r="14" spans="1:26" ht="15" customHeight="1" x14ac:dyDescent="0.25">
      <c r="A14" s="42">
        <v>9</v>
      </c>
      <c r="B14" s="43">
        <v>99</v>
      </c>
      <c r="C14" s="52">
        <f t="shared" si="2"/>
        <v>3843.18</v>
      </c>
      <c r="D14" s="43">
        <v>86</v>
      </c>
      <c r="E14" s="52">
        <f t="shared" si="3"/>
        <v>6677.04</v>
      </c>
      <c r="F14" s="43">
        <v>191</v>
      </c>
      <c r="G14" s="1">
        <f t="shared" si="13"/>
        <v>14829.24</v>
      </c>
      <c r="H14" s="43"/>
      <c r="I14" s="1">
        <f t="shared" si="14"/>
        <v>0</v>
      </c>
      <c r="J14" s="43"/>
      <c r="K14" s="1">
        <f t="shared" si="4"/>
        <v>0</v>
      </c>
      <c r="L14" s="43"/>
      <c r="M14" s="1">
        <f t="shared" si="5"/>
        <v>0</v>
      </c>
      <c r="N14" s="43">
        <v>9</v>
      </c>
      <c r="O14" s="1">
        <f t="shared" si="6"/>
        <v>252</v>
      </c>
      <c r="P14" s="52">
        <f t="shared" si="7"/>
        <v>25601.46</v>
      </c>
      <c r="Q14" s="65">
        <v>9628.66</v>
      </c>
      <c r="R14" s="44">
        <f t="shared" si="8"/>
        <v>37.60980819062663</v>
      </c>
      <c r="S14" s="45">
        <v>29</v>
      </c>
      <c r="T14" s="1">
        <f t="shared" si="9"/>
        <v>417.89</v>
      </c>
      <c r="U14" s="43"/>
      <c r="V14" s="44">
        <f t="shared" si="10"/>
        <v>0</v>
      </c>
      <c r="W14" s="74"/>
      <c r="X14" s="78">
        <f t="shared" si="11"/>
        <v>0</v>
      </c>
      <c r="Y14" s="74"/>
      <c r="Z14" s="78" t="e">
        <f t="shared" si="12"/>
        <v>#DIV/0!</v>
      </c>
    </row>
    <row r="15" spans="1:26" ht="15" customHeight="1" x14ac:dyDescent="0.25">
      <c r="A15" s="42">
        <v>10</v>
      </c>
      <c r="B15" s="43">
        <v>102</v>
      </c>
      <c r="C15" s="52">
        <f t="shared" si="2"/>
        <v>3959.64</v>
      </c>
      <c r="D15" s="43">
        <v>116</v>
      </c>
      <c r="E15" s="52">
        <f t="shared" si="3"/>
        <v>9006.24</v>
      </c>
      <c r="F15" s="43">
        <v>192</v>
      </c>
      <c r="G15" s="1">
        <f t="shared" si="13"/>
        <v>14906.880000000001</v>
      </c>
      <c r="H15" s="43"/>
      <c r="I15" s="1">
        <f t="shared" si="14"/>
        <v>0</v>
      </c>
      <c r="J15" s="43"/>
      <c r="K15" s="1">
        <f t="shared" si="4"/>
        <v>0</v>
      </c>
      <c r="L15" s="43"/>
      <c r="M15" s="1">
        <f t="shared" si="5"/>
        <v>0</v>
      </c>
      <c r="N15" s="43">
        <v>42</v>
      </c>
      <c r="O15" s="1">
        <f t="shared" si="6"/>
        <v>1176</v>
      </c>
      <c r="P15" s="52">
        <f t="shared" si="7"/>
        <v>29048.760000000002</v>
      </c>
      <c r="Q15" s="65">
        <v>9875.8799999999992</v>
      </c>
      <c r="R15" s="44">
        <f t="shared" si="8"/>
        <v>33.997595766566278</v>
      </c>
      <c r="S15" s="45"/>
      <c r="T15" s="1">
        <f t="shared" si="9"/>
        <v>0</v>
      </c>
      <c r="U15" s="43"/>
      <c r="V15" s="44" t="e">
        <f t="shared" si="10"/>
        <v>#DIV/0!</v>
      </c>
      <c r="W15" s="74"/>
      <c r="X15" s="78">
        <f t="shared" si="11"/>
        <v>0</v>
      </c>
      <c r="Y15" s="74"/>
      <c r="Z15" s="78" t="e">
        <f t="shared" si="12"/>
        <v>#DIV/0!</v>
      </c>
    </row>
    <row r="16" spans="1:26" ht="15" customHeight="1" x14ac:dyDescent="0.25">
      <c r="A16" s="42">
        <v>11</v>
      </c>
      <c r="B16" s="43">
        <v>54</v>
      </c>
      <c r="C16" s="52">
        <f t="shared" si="2"/>
        <v>2096.2800000000002</v>
      </c>
      <c r="D16" s="43">
        <v>118</v>
      </c>
      <c r="E16" s="52">
        <f t="shared" si="3"/>
        <v>9161.52</v>
      </c>
      <c r="F16" s="43">
        <v>175</v>
      </c>
      <c r="G16" s="1">
        <f t="shared" si="13"/>
        <v>13587</v>
      </c>
      <c r="H16" s="43"/>
      <c r="I16" s="1">
        <f t="shared" si="14"/>
        <v>0</v>
      </c>
      <c r="J16" s="43"/>
      <c r="K16" s="1">
        <f t="shared" si="4"/>
        <v>0</v>
      </c>
      <c r="L16" s="43"/>
      <c r="M16" s="1">
        <f t="shared" si="5"/>
        <v>0</v>
      </c>
      <c r="N16" s="43">
        <v>28</v>
      </c>
      <c r="O16" s="1">
        <f t="shared" si="6"/>
        <v>784</v>
      </c>
      <c r="P16" s="52">
        <f t="shared" si="7"/>
        <v>25628.799999999999</v>
      </c>
      <c r="Q16" s="64">
        <v>9871.58</v>
      </c>
      <c r="R16" s="44">
        <f t="shared" si="8"/>
        <v>38.517527156948432</v>
      </c>
      <c r="S16" s="45">
        <v>1</v>
      </c>
      <c r="T16" s="1">
        <f t="shared" si="9"/>
        <v>14.41</v>
      </c>
      <c r="U16" s="43"/>
      <c r="V16" s="44">
        <f t="shared" si="10"/>
        <v>0</v>
      </c>
      <c r="W16" s="74"/>
      <c r="X16" s="78">
        <f t="shared" si="11"/>
        <v>0</v>
      </c>
      <c r="Y16" s="74"/>
      <c r="Z16" s="78" t="e">
        <f t="shared" si="12"/>
        <v>#DIV/0!</v>
      </c>
    </row>
    <row r="17" spans="1:26" ht="15" customHeight="1" x14ac:dyDescent="0.25">
      <c r="A17" s="42">
        <v>12</v>
      </c>
      <c r="B17" s="43">
        <v>84</v>
      </c>
      <c r="C17" s="52">
        <f t="shared" si="2"/>
        <v>3260.88</v>
      </c>
      <c r="D17" s="43">
        <v>62</v>
      </c>
      <c r="E17" s="52">
        <f t="shared" si="3"/>
        <v>4813.68</v>
      </c>
      <c r="F17" s="43">
        <v>77</v>
      </c>
      <c r="G17" s="1">
        <f t="shared" si="13"/>
        <v>5978.28</v>
      </c>
      <c r="H17" s="43"/>
      <c r="I17" s="1">
        <f t="shared" si="14"/>
        <v>0</v>
      </c>
      <c r="J17" s="43"/>
      <c r="K17" s="1">
        <f t="shared" si="4"/>
        <v>0</v>
      </c>
      <c r="L17" s="43"/>
      <c r="M17" s="1">
        <f t="shared" si="5"/>
        <v>0</v>
      </c>
      <c r="N17" s="43">
        <v>21</v>
      </c>
      <c r="O17" s="1">
        <f t="shared" si="6"/>
        <v>588</v>
      </c>
      <c r="P17" s="52">
        <f t="shared" si="7"/>
        <v>14640.84</v>
      </c>
      <c r="Q17" s="64">
        <v>8717.86</v>
      </c>
      <c r="R17" s="44">
        <f t="shared" si="8"/>
        <v>59.544807538365284</v>
      </c>
      <c r="S17" s="45"/>
      <c r="T17" s="1">
        <f t="shared" si="9"/>
        <v>0</v>
      </c>
      <c r="U17" s="43"/>
      <c r="V17" s="44" t="e">
        <f t="shared" si="10"/>
        <v>#DIV/0!</v>
      </c>
      <c r="W17" s="74"/>
      <c r="X17" s="78">
        <f t="shared" si="11"/>
        <v>0</v>
      </c>
      <c r="Y17" s="74"/>
      <c r="Z17" s="78" t="e">
        <f t="shared" si="12"/>
        <v>#DIV/0!</v>
      </c>
    </row>
    <row r="18" spans="1:26" ht="15" customHeight="1" x14ac:dyDescent="0.25">
      <c r="A18" s="56">
        <v>13</v>
      </c>
      <c r="B18" s="57">
        <v>54</v>
      </c>
      <c r="C18" s="52">
        <f t="shared" si="2"/>
        <v>2096.2800000000002</v>
      </c>
      <c r="D18" s="57">
        <v>43</v>
      </c>
      <c r="E18" s="52">
        <f t="shared" si="3"/>
        <v>3338.52</v>
      </c>
      <c r="F18" s="57">
        <v>81</v>
      </c>
      <c r="G18" s="1">
        <f t="shared" si="13"/>
        <v>6288.84</v>
      </c>
      <c r="H18" s="43"/>
      <c r="I18" s="1">
        <f t="shared" si="14"/>
        <v>0</v>
      </c>
      <c r="J18" s="43"/>
      <c r="K18" s="1">
        <f t="shared" si="4"/>
        <v>0</v>
      </c>
      <c r="L18" s="43"/>
      <c r="M18" s="1">
        <f t="shared" si="5"/>
        <v>0</v>
      </c>
      <c r="N18" s="43">
        <v>3</v>
      </c>
      <c r="O18" s="1">
        <f t="shared" si="6"/>
        <v>84</v>
      </c>
      <c r="P18" s="52">
        <f t="shared" si="7"/>
        <v>11807.640000000001</v>
      </c>
      <c r="Q18" s="64">
        <v>11198.64</v>
      </c>
      <c r="R18" s="44">
        <f t="shared" si="8"/>
        <v>94.842322428529314</v>
      </c>
      <c r="S18" s="45"/>
      <c r="T18" s="1">
        <f t="shared" si="9"/>
        <v>0</v>
      </c>
      <c r="U18" s="43"/>
      <c r="V18" s="44" t="e">
        <f t="shared" si="10"/>
        <v>#DIV/0!</v>
      </c>
      <c r="W18" s="74"/>
      <c r="X18" s="78">
        <f t="shared" si="11"/>
        <v>0</v>
      </c>
      <c r="Y18" s="74"/>
      <c r="Z18" s="78" t="e">
        <f t="shared" si="12"/>
        <v>#DIV/0!</v>
      </c>
    </row>
    <row r="19" spans="1:26" ht="15" customHeight="1" x14ac:dyDescent="0.25">
      <c r="A19" s="56">
        <v>14</v>
      </c>
      <c r="B19" s="57">
        <v>55</v>
      </c>
      <c r="C19" s="52">
        <f t="shared" si="2"/>
        <v>2135.1</v>
      </c>
      <c r="D19" s="57">
        <v>55</v>
      </c>
      <c r="E19" s="52">
        <f t="shared" si="3"/>
        <v>4270.2</v>
      </c>
      <c r="F19" s="57">
        <v>66</v>
      </c>
      <c r="G19" s="1">
        <f t="shared" si="13"/>
        <v>5124.24</v>
      </c>
      <c r="H19" s="43"/>
      <c r="I19" s="1">
        <f t="shared" si="14"/>
        <v>0</v>
      </c>
      <c r="J19" s="43"/>
      <c r="K19" s="1">
        <f t="shared" si="4"/>
        <v>0</v>
      </c>
      <c r="L19" s="43"/>
      <c r="M19" s="1">
        <f t="shared" si="5"/>
        <v>0</v>
      </c>
      <c r="N19" s="43">
        <v>23</v>
      </c>
      <c r="O19" s="1">
        <f t="shared" si="6"/>
        <v>644</v>
      </c>
      <c r="P19" s="52">
        <f t="shared" si="7"/>
        <v>12173.539999999999</v>
      </c>
      <c r="Q19" s="64">
        <v>9432.5400000000009</v>
      </c>
      <c r="R19" s="44">
        <f t="shared" si="8"/>
        <v>77.483952901128191</v>
      </c>
      <c r="S19" s="45">
        <v>2</v>
      </c>
      <c r="T19" s="1">
        <f t="shared" si="9"/>
        <v>28.82</v>
      </c>
      <c r="U19" s="43"/>
      <c r="V19" s="44">
        <f t="shared" si="10"/>
        <v>0</v>
      </c>
      <c r="W19" s="74"/>
      <c r="X19" s="78">
        <f t="shared" si="11"/>
        <v>0</v>
      </c>
      <c r="Y19" s="74"/>
      <c r="Z19" s="78" t="e">
        <f t="shared" si="12"/>
        <v>#DIV/0!</v>
      </c>
    </row>
    <row r="20" spans="1:26" ht="15" customHeight="1" x14ac:dyDescent="0.25">
      <c r="A20" s="42">
        <v>15</v>
      </c>
      <c r="B20" s="48">
        <v>61</v>
      </c>
      <c r="C20" s="52">
        <f t="shared" si="2"/>
        <v>2368.02</v>
      </c>
      <c r="D20" s="48">
        <v>101</v>
      </c>
      <c r="E20" s="52">
        <f t="shared" si="3"/>
        <v>7841.64</v>
      </c>
      <c r="F20" s="48">
        <v>225</v>
      </c>
      <c r="G20" s="49">
        <f t="shared" si="13"/>
        <v>17469</v>
      </c>
      <c r="H20" s="48"/>
      <c r="I20" s="49">
        <f t="shared" si="14"/>
        <v>0</v>
      </c>
      <c r="J20" s="43"/>
      <c r="K20" s="1">
        <f t="shared" si="4"/>
        <v>0</v>
      </c>
      <c r="L20" s="43"/>
      <c r="M20" s="1">
        <f t="shared" si="5"/>
        <v>0</v>
      </c>
      <c r="N20" s="43">
        <v>94</v>
      </c>
      <c r="O20" s="1">
        <f t="shared" si="6"/>
        <v>2632</v>
      </c>
      <c r="P20" s="52">
        <f t="shared" si="7"/>
        <v>30310.66</v>
      </c>
      <c r="Q20" s="64">
        <v>10859.37</v>
      </c>
      <c r="R20" s="44">
        <f t="shared" si="8"/>
        <v>35.826900502991357</v>
      </c>
      <c r="S20" s="45"/>
      <c r="T20" s="1">
        <f t="shared" si="9"/>
        <v>0</v>
      </c>
      <c r="U20" s="43"/>
      <c r="V20" s="44" t="e">
        <f t="shared" si="10"/>
        <v>#DIV/0!</v>
      </c>
      <c r="W20" s="74"/>
      <c r="X20" s="78">
        <f t="shared" si="11"/>
        <v>0</v>
      </c>
      <c r="Y20" s="74"/>
      <c r="Z20" s="78" t="e">
        <f t="shared" si="12"/>
        <v>#DIV/0!</v>
      </c>
    </row>
    <row r="21" spans="1:26" ht="15" customHeight="1" x14ac:dyDescent="0.25">
      <c r="A21" s="42">
        <v>16</v>
      </c>
      <c r="B21" s="43">
        <v>102</v>
      </c>
      <c r="C21" s="52">
        <f t="shared" si="2"/>
        <v>3959.64</v>
      </c>
      <c r="D21" s="43">
        <v>129</v>
      </c>
      <c r="E21" s="52">
        <f t="shared" si="3"/>
        <v>10015.56</v>
      </c>
      <c r="F21" s="43">
        <v>206</v>
      </c>
      <c r="G21" s="1">
        <f t="shared" si="13"/>
        <v>15993.84</v>
      </c>
      <c r="H21" s="43"/>
      <c r="I21" s="1">
        <f t="shared" si="14"/>
        <v>0</v>
      </c>
      <c r="J21" s="43"/>
      <c r="K21" s="1">
        <f t="shared" si="4"/>
        <v>0</v>
      </c>
      <c r="L21" s="43"/>
      <c r="M21" s="1">
        <f t="shared" si="5"/>
        <v>0</v>
      </c>
      <c r="N21" s="43">
        <v>55</v>
      </c>
      <c r="O21" s="1">
        <f t="shared" si="6"/>
        <v>1540</v>
      </c>
      <c r="P21" s="52">
        <f t="shared" si="7"/>
        <v>31509.040000000001</v>
      </c>
      <c r="Q21" s="64">
        <v>11683.03</v>
      </c>
      <c r="R21" s="44">
        <f t="shared" si="8"/>
        <v>37.078343231021954</v>
      </c>
      <c r="S21" s="45"/>
      <c r="T21" s="1">
        <f t="shared" si="9"/>
        <v>0</v>
      </c>
      <c r="U21" s="43"/>
      <c r="V21" s="44" t="e">
        <f t="shared" si="10"/>
        <v>#DIV/0!</v>
      </c>
      <c r="W21" s="74"/>
      <c r="X21" s="78">
        <f t="shared" si="11"/>
        <v>0</v>
      </c>
      <c r="Y21" s="74"/>
      <c r="Z21" s="78" t="e">
        <f t="shared" si="12"/>
        <v>#DIV/0!</v>
      </c>
    </row>
    <row r="22" spans="1:26" ht="15" customHeight="1" x14ac:dyDescent="0.25">
      <c r="A22" s="42">
        <v>17</v>
      </c>
      <c r="B22" s="43">
        <v>105</v>
      </c>
      <c r="C22" s="52">
        <f t="shared" si="2"/>
        <v>4076.1</v>
      </c>
      <c r="D22" s="43">
        <v>168</v>
      </c>
      <c r="E22" s="52">
        <f t="shared" si="3"/>
        <v>13043.52</v>
      </c>
      <c r="F22" s="43">
        <v>250</v>
      </c>
      <c r="G22" s="1">
        <f t="shared" si="13"/>
        <v>19410</v>
      </c>
      <c r="H22" s="43"/>
      <c r="I22" s="1">
        <f t="shared" si="14"/>
        <v>0</v>
      </c>
      <c r="J22" s="43"/>
      <c r="K22" s="1">
        <f t="shared" si="4"/>
        <v>0</v>
      </c>
      <c r="L22" s="43"/>
      <c r="M22" s="1">
        <f t="shared" si="5"/>
        <v>0</v>
      </c>
      <c r="N22" s="43">
        <v>74</v>
      </c>
      <c r="O22" s="1">
        <f t="shared" si="6"/>
        <v>2072</v>
      </c>
      <c r="P22" s="52">
        <f t="shared" si="7"/>
        <v>38601.620000000003</v>
      </c>
      <c r="Q22" s="64">
        <v>11305.75</v>
      </c>
      <c r="R22" s="44">
        <f t="shared" si="8"/>
        <v>29.288278574837012</v>
      </c>
      <c r="S22" s="45"/>
      <c r="T22" s="1">
        <f t="shared" si="9"/>
        <v>0</v>
      </c>
      <c r="U22" s="43"/>
      <c r="V22" s="44" t="e">
        <f t="shared" si="10"/>
        <v>#DIV/0!</v>
      </c>
      <c r="W22" s="74"/>
      <c r="X22" s="78">
        <f t="shared" si="11"/>
        <v>0</v>
      </c>
      <c r="Y22" s="74"/>
      <c r="Z22" s="78" t="e">
        <f t="shared" si="12"/>
        <v>#DIV/0!</v>
      </c>
    </row>
    <row r="23" spans="1:26" ht="15" customHeight="1" x14ac:dyDescent="0.25">
      <c r="A23" s="42">
        <v>18</v>
      </c>
      <c r="B23" s="43">
        <v>68</v>
      </c>
      <c r="C23" s="52">
        <f t="shared" si="2"/>
        <v>2639.76</v>
      </c>
      <c r="D23" s="43">
        <v>167</v>
      </c>
      <c r="E23" s="52">
        <f t="shared" si="3"/>
        <v>12965.88</v>
      </c>
      <c r="F23" s="43">
        <v>195</v>
      </c>
      <c r="G23" s="1">
        <f t="shared" si="13"/>
        <v>15139.8</v>
      </c>
      <c r="H23" s="43"/>
      <c r="I23" s="1">
        <f t="shared" si="14"/>
        <v>0</v>
      </c>
      <c r="J23" s="43"/>
      <c r="K23" s="1">
        <f t="shared" si="4"/>
        <v>0</v>
      </c>
      <c r="L23" s="43"/>
      <c r="M23" s="1">
        <f t="shared" si="5"/>
        <v>0</v>
      </c>
      <c r="N23" s="43">
        <v>32</v>
      </c>
      <c r="O23" s="1">
        <f t="shared" si="6"/>
        <v>896</v>
      </c>
      <c r="P23" s="52">
        <f t="shared" si="7"/>
        <v>31641.440000000002</v>
      </c>
      <c r="Q23" s="64">
        <v>9858.84</v>
      </c>
      <c r="R23" s="44">
        <f t="shared" si="8"/>
        <v>31.158000394419467</v>
      </c>
      <c r="S23" s="45"/>
      <c r="T23" s="1">
        <f t="shared" si="9"/>
        <v>0</v>
      </c>
      <c r="U23" s="43">
        <v>162.75</v>
      </c>
      <c r="V23" s="44" t="e">
        <f t="shared" si="10"/>
        <v>#DIV/0!</v>
      </c>
      <c r="W23" s="74"/>
      <c r="X23" s="78">
        <f t="shared" si="11"/>
        <v>0</v>
      </c>
      <c r="Y23" s="74"/>
      <c r="Z23" s="78" t="e">
        <f t="shared" si="12"/>
        <v>#DIV/0!</v>
      </c>
    </row>
    <row r="24" spans="1:26" ht="15" customHeight="1" x14ac:dyDescent="0.25">
      <c r="A24" s="42">
        <v>19</v>
      </c>
      <c r="B24" s="43">
        <v>61</v>
      </c>
      <c r="C24" s="52">
        <f t="shared" si="2"/>
        <v>2368.02</v>
      </c>
      <c r="D24" s="43">
        <v>47</v>
      </c>
      <c r="E24" s="52">
        <f t="shared" si="3"/>
        <v>3649.08</v>
      </c>
      <c r="F24" s="43">
        <v>78</v>
      </c>
      <c r="G24" s="1">
        <f t="shared" si="13"/>
        <v>6055.92</v>
      </c>
      <c r="H24" s="43"/>
      <c r="I24" s="1">
        <f t="shared" si="14"/>
        <v>0</v>
      </c>
      <c r="J24" s="43"/>
      <c r="K24" s="1">
        <f t="shared" si="4"/>
        <v>0</v>
      </c>
      <c r="L24" s="43"/>
      <c r="M24" s="1">
        <f t="shared" si="5"/>
        <v>0</v>
      </c>
      <c r="N24" s="43">
        <v>6</v>
      </c>
      <c r="O24" s="1">
        <f t="shared" si="6"/>
        <v>168</v>
      </c>
      <c r="P24" s="52">
        <f t="shared" si="7"/>
        <v>12241.02</v>
      </c>
      <c r="Q24" s="64">
        <v>7883.57</v>
      </c>
      <c r="R24" s="44">
        <f t="shared" si="8"/>
        <v>64.402884726926345</v>
      </c>
      <c r="S24" s="45"/>
      <c r="T24" s="1">
        <f t="shared" si="9"/>
        <v>0</v>
      </c>
      <c r="U24" s="43">
        <v>407.24</v>
      </c>
      <c r="V24" s="44" t="e">
        <f t="shared" si="10"/>
        <v>#DIV/0!</v>
      </c>
      <c r="W24" s="74"/>
      <c r="X24" s="78">
        <f t="shared" si="11"/>
        <v>0</v>
      </c>
      <c r="Y24" s="74"/>
      <c r="Z24" s="78" t="e">
        <f t="shared" si="12"/>
        <v>#DIV/0!</v>
      </c>
    </row>
    <row r="25" spans="1:26" ht="15" customHeight="1" x14ac:dyDescent="0.25">
      <c r="A25" s="56">
        <v>20</v>
      </c>
      <c r="B25" s="57">
        <v>44</v>
      </c>
      <c r="C25" s="52">
        <f t="shared" si="2"/>
        <v>1708.08</v>
      </c>
      <c r="D25" s="57">
        <v>27</v>
      </c>
      <c r="E25" s="52">
        <f t="shared" si="3"/>
        <v>2096.2800000000002</v>
      </c>
      <c r="F25" s="57">
        <v>76</v>
      </c>
      <c r="G25" s="1">
        <f t="shared" si="13"/>
        <v>5900.64</v>
      </c>
      <c r="H25" s="43"/>
      <c r="I25" s="1">
        <f t="shared" si="14"/>
        <v>0</v>
      </c>
      <c r="J25" s="43"/>
      <c r="K25" s="1">
        <f t="shared" si="4"/>
        <v>0</v>
      </c>
      <c r="L25" s="43"/>
      <c r="M25" s="1">
        <f t="shared" si="5"/>
        <v>0</v>
      </c>
      <c r="N25" s="43">
        <v>4</v>
      </c>
      <c r="O25" s="1">
        <f t="shared" si="6"/>
        <v>112</v>
      </c>
      <c r="P25" s="52">
        <f t="shared" si="7"/>
        <v>9817</v>
      </c>
      <c r="Q25" s="64">
        <v>8141.71</v>
      </c>
      <c r="R25" s="44">
        <f t="shared" si="8"/>
        <v>82.934806967505352</v>
      </c>
      <c r="S25" s="45"/>
      <c r="T25" s="1">
        <f t="shared" si="9"/>
        <v>0</v>
      </c>
      <c r="U25" s="43"/>
      <c r="V25" s="44" t="e">
        <f t="shared" si="10"/>
        <v>#DIV/0!</v>
      </c>
      <c r="W25" s="74"/>
      <c r="X25" s="78">
        <f t="shared" si="11"/>
        <v>0</v>
      </c>
      <c r="Y25" s="74"/>
      <c r="Z25" s="78" t="e">
        <f t="shared" si="12"/>
        <v>#DIV/0!</v>
      </c>
    </row>
    <row r="26" spans="1:26" ht="15" customHeight="1" x14ac:dyDescent="0.25">
      <c r="A26" s="56">
        <v>21</v>
      </c>
      <c r="B26" s="57">
        <v>53</v>
      </c>
      <c r="C26" s="52">
        <f t="shared" si="2"/>
        <v>2057.46</v>
      </c>
      <c r="D26" s="57">
        <v>36</v>
      </c>
      <c r="E26" s="52">
        <f t="shared" si="3"/>
        <v>2795.04</v>
      </c>
      <c r="F26" s="57">
        <v>69</v>
      </c>
      <c r="G26" s="1">
        <f t="shared" si="13"/>
        <v>5357.16</v>
      </c>
      <c r="H26" s="43"/>
      <c r="I26" s="1">
        <f t="shared" si="14"/>
        <v>0</v>
      </c>
      <c r="J26" s="43"/>
      <c r="K26" s="1">
        <f t="shared" si="4"/>
        <v>0</v>
      </c>
      <c r="L26" s="43"/>
      <c r="M26" s="1">
        <f t="shared" si="5"/>
        <v>0</v>
      </c>
      <c r="N26" s="43">
        <v>3</v>
      </c>
      <c r="O26" s="1">
        <f t="shared" si="6"/>
        <v>84</v>
      </c>
      <c r="P26" s="52">
        <f t="shared" si="7"/>
        <v>10293.66</v>
      </c>
      <c r="Q26" s="64">
        <v>7218.43</v>
      </c>
      <c r="R26" s="44">
        <f t="shared" si="8"/>
        <v>70.125008986113784</v>
      </c>
      <c r="S26" s="45"/>
      <c r="T26" s="1">
        <f t="shared" si="9"/>
        <v>0</v>
      </c>
      <c r="U26" s="43"/>
      <c r="V26" s="44" t="e">
        <f t="shared" si="10"/>
        <v>#DIV/0!</v>
      </c>
      <c r="W26" s="74"/>
      <c r="X26" s="78">
        <f t="shared" si="11"/>
        <v>0</v>
      </c>
      <c r="Y26" s="74"/>
      <c r="Z26" s="78" t="e">
        <f t="shared" si="12"/>
        <v>#DIV/0!</v>
      </c>
    </row>
    <row r="27" spans="1:26" ht="15" customHeight="1" x14ac:dyDescent="0.25">
      <c r="A27" s="42">
        <v>22</v>
      </c>
      <c r="B27" s="43">
        <v>50</v>
      </c>
      <c r="C27" s="52">
        <f t="shared" si="2"/>
        <v>1941</v>
      </c>
      <c r="D27" s="43">
        <v>38</v>
      </c>
      <c r="E27" s="52">
        <f t="shared" si="3"/>
        <v>2950.32</v>
      </c>
      <c r="F27" s="43">
        <v>81</v>
      </c>
      <c r="G27" s="1">
        <f t="shared" si="13"/>
        <v>6288.84</v>
      </c>
      <c r="H27" s="43">
        <v>1</v>
      </c>
      <c r="I27" s="1">
        <f t="shared" si="14"/>
        <v>42</v>
      </c>
      <c r="J27" s="43"/>
      <c r="K27" s="1">
        <f t="shared" si="4"/>
        <v>0</v>
      </c>
      <c r="L27" s="43"/>
      <c r="M27" s="1">
        <f t="shared" si="5"/>
        <v>0</v>
      </c>
      <c r="N27" s="43">
        <v>2</v>
      </c>
      <c r="O27" s="1">
        <f t="shared" si="6"/>
        <v>56</v>
      </c>
      <c r="P27" s="52">
        <f t="shared" si="7"/>
        <v>11278.16</v>
      </c>
      <c r="Q27" s="64">
        <v>8039.57</v>
      </c>
      <c r="R27" s="44">
        <f t="shared" si="8"/>
        <v>71.284411641615293</v>
      </c>
      <c r="S27" s="45"/>
      <c r="T27" s="1">
        <f t="shared" si="9"/>
        <v>0</v>
      </c>
      <c r="U27" s="43">
        <v>32.53</v>
      </c>
      <c r="V27" s="44" t="e">
        <f t="shared" si="10"/>
        <v>#DIV/0!</v>
      </c>
      <c r="W27" s="74"/>
      <c r="X27" s="78">
        <f t="shared" si="11"/>
        <v>0</v>
      </c>
      <c r="Y27" s="74"/>
      <c r="Z27" s="78" t="e">
        <f t="shared" si="12"/>
        <v>#DIV/0!</v>
      </c>
    </row>
    <row r="28" spans="1:26" ht="15" customHeight="1" x14ac:dyDescent="0.25">
      <c r="A28" s="42">
        <v>23</v>
      </c>
      <c r="B28" s="43">
        <v>46</v>
      </c>
      <c r="C28" s="52">
        <f t="shared" si="2"/>
        <v>1785.72</v>
      </c>
      <c r="D28" s="43">
        <v>47</v>
      </c>
      <c r="E28" s="52">
        <f t="shared" si="3"/>
        <v>3649.08</v>
      </c>
      <c r="F28" s="43">
        <v>91</v>
      </c>
      <c r="G28" s="1">
        <f t="shared" si="13"/>
        <v>7065.24</v>
      </c>
      <c r="H28" s="43"/>
      <c r="I28" s="1">
        <f t="shared" si="14"/>
        <v>0</v>
      </c>
      <c r="J28" s="43"/>
      <c r="K28" s="1">
        <f t="shared" si="4"/>
        <v>0</v>
      </c>
      <c r="L28" s="43"/>
      <c r="M28" s="1">
        <f t="shared" si="5"/>
        <v>0</v>
      </c>
      <c r="N28" s="43">
        <v>4</v>
      </c>
      <c r="O28" s="1">
        <f t="shared" si="6"/>
        <v>112</v>
      </c>
      <c r="P28" s="52">
        <f t="shared" si="7"/>
        <v>12612.039999999999</v>
      </c>
      <c r="Q28" s="64">
        <v>7398.75</v>
      </c>
      <c r="R28" s="44">
        <f t="shared" si="8"/>
        <v>58.664181210969836</v>
      </c>
      <c r="S28" s="45"/>
      <c r="T28" s="1">
        <f t="shared" si="9"/>
        <v>0</v>
      </c>
      <c r="U28" s="43">
        <v>592.89</v>
      </c>
      <c r="V28" s="44" t="e">
        <f t="shared" si="10"/>
        <v>#DIV/0!</v>
      </c>
      <c r="W28" s="74"/>
      <c r="X28" s="78">
        <f t="shared" si="11"/>
        <v>0</v>
      </c>
      <c r="Y28" s="74"/>
      <c r="Z28" s="78" t="e">
        <f t="shared" si="12"/>
        <v>#DIV/0!</v>
      </c>
    </row>
    <row r="29" spans="1:26" ht="15.6" customHeight="1" x14ac:dyDescent="0.25">
      <c r="A29" s="42">
        <v>24</v>
      </c>
      <c r="B29" s="43">
        <v>52</v>
      </c>
      <c r="C29" s="52">
        <f t="shared" si="2"/>
        <v>2018.64</v>
      </c>
      <c r="D29" s="43">
        <v>114</v>
      </c>
      <c r="E29" s="52">
        <f t="shared" si="3"/>
        <v>8850.9600000000009</v>
      </c>
      <c r="F29" s="43"/>
      <c r="G29" s="1">
        <f t="shared" si="13"/>
        <v>0</v>
      </c>
      <c r="H29" s="43">
        <v>4</v>
      </c>
      <c r="I29" s="1">
        <f t="shared" si="14"/>
        <v>168</v>
      </c>
      <c r="J29" s="43"/>
      <c r="K29" s="1">
        <f t="shared" si="4"/>
        <v>0</v>
      </c>
      <c r="L29" s="43">
        <v>18</v>
      </c>
      <c r="M29" s="1">
        <f t="shared" si="5"/>
        <v>1404</v>
      </c>
      <c r="N29" s="43">
        <v>47</v>
      </c>
      <c r="O29" s="1">
        <f t="shared" si="6"/>
        <v>1316</v>
      </c>
      <c r="P29" s="52">
        <f t="shared" si="7"/>
        <v>13757.6</v>
      </c>
      <c r="Q29" s="64">
        <v>7223.32</v>
      </c>
      <c r="R29" s="44">
        <f t="shared" si="8"/>
        <v>52.504215851602019</v>
      </c>
      <c r="S29" s="45"/>
      <c r="T29" s="1">
        <f t="shared" si="9"/>
        <v>0</v>
      </c>
      <c r="U29" s="43">
        <v>3680.73</v>
      </c>
      <c r="V29" s="44" t="e">
        <f t="shared" si="10"/>
        <v>#DIV/0!</v>
      </c>
      <c r="W29" s="74"/>
      <c r="X29" s="78">
        <f t="shared" si="11"/>
        <v>0</v>
      </c>
      <c r="Y29" s="74"/>
      <c r="Z29" s="78" t="e">
        <f t="shared" si="12"/>
        <v>#DIV/0!</v>
      </c>
    </row>
    <row r="30" spans="1:26" ht="15" customHeight="1" x14ac:dyDescent="0.25">
      <c r="A30" s="42">
        <v>25</v>
      </c>
      <c r="B30" s="43">
        <v>62</v>
      </c>
      <c r="C30" s="52">
        <f t="shared" si="2"/>
        <v>2406.84</v>
      </c>
      <c r="D30" s="43">
        <v>106</v>
      </c>
      <c r="E30" s="52">
        <f t="shared" si="3"/>
        <v>8229.84</v>
      </c>
      <c r="F30" s="43">
        <v>246</v>
      </c>
      <c r="G30" s="1">
        <f t="shared" si="13"/>
        <v>19099.439999999999</v>
      </c>
      <c r="H30" s="43"/>
      <c r="I30" s="1">
        <f t="shared" si="14"/>
        <v>0</v>
      </c>
      <c r="J30" s="43"/>
      <c r="K30" s="1">
        <f t="shared" si="4"/>
        <v>0</v>
      </c>
      <c r="L30" s="43"/>
      <c r="M30" s="1">
        <f t="shared" si="5"/>
        <v>0</v>
      </c>
      <c r="N30" s="43">
        <v>34</v>
      </c>
      <c r="O30" s="1">
        <f t="shared" si="6"/>
        <v>952</v>
      </c>
      <c r="P30" s="52">
        <f t="shared" si="7"/>
        <v>30688.12</v>
      </c>
      <c r="Q30" s="65">
        <v>7724.51</v>
      </c>
      <c r="R30" s="44">
        <f t="shared" si="8"/>
        <v>25.171010801574027</v>
      </c>
      <c r="S30" s="45"/>
      <c r="T30" s="1">
        <f t="shared" si="9"/>
        <v>0</v>
      </c>
      <c r="U30" s="43">
        <v>49.46</v>
      </c>
      <c r="V30" s="44" t="e">
        <f t="shared" si="10"/>
        <v>#DIV/0!</v>
      </c>
      <c r="W30" s="74">
        <v>213</v>
      </c>
      <c r="X30" s="78">
        <f t="shared" si="11"/>
        <v>17040</v>
      </c>
      <c r="Y30" s="74">
        <v>10987.69</v>
      </c>
      <c r="Z30" s="78">
        <f t="shared" si="12"/>
        <v>64.481748826291081</v>
      </c>
    </row>
    <row r="31" spans="1:26" ht="15" customHeight="1" x14ac:dyDescent="0.25">
      <c r="A31" s="42">
        <v>26</v>
      </c>
      <c r="B31" s="43">
        <v>51</v>
      </c>
      <c r="C31" s="52">
        <f t="shared" si="2"/>
        <v>1979.82</v>
      </c>
      <c r="D31" s="43">
        <v>60</v>
      </c>
      <c r="E31" s="52">
        <f t="shared" si="3"/>
        <v>4658.3999999999996</v>
      </c>
      <c r="F31" s="43">
        <v>74</v>
      </c>
      <c r="G31" s="1">
        <f t="shared" si="13"/>
        <v>5745.36</v>
      </c>
      <c r="H31" s="43"/>
      <c r="I31" s="1">
        <f t="shared" si="14"/>
        <v>0</v>
      </c>
      <c r="J31" s="43"/>
      <c r="K31" s="1">
        <f t="shared" si="4"/>
        <v>0</v>
      </c>
      <c r="L31" s="43"/>
      <c r="M31" s="1">
        <f t="shared" si="5"/>
        <v>0</v>
      </c>
      <c r="N31" s="43">
        <v>4</v>
      </c>
      <c r="O31" s="1">
        <f t="shared" si="6"/>
        <v>112</v>
      </c>
      <c r="P31" s="52">
        <f t="shared" si="7"/>
        <v>12495.579999999998</v>
      </c>
      <c r="Q31" s="64">
        <v>11678</v>
      </c>
      <c r="R31" s="44">
        <f t="shared" si="8"/>
        <v>93.457046411611159</v>
      </c>
      <c r="S31" s="45"/>
      <c r="T31" s="1">
        <f t="shared" si="9"/>
        <v>0</v>
      </c>
      <c r="U31" s="43"/>
      <c r="V31" s="44" t="e">
        <f t="shared" si="10"/>
        <v>#DIV/0!</v>
      </c>
      <c r="W31" s="74"/>
      <c r="X31" s="78">
        <f t="shared" si="11"/>
        <v>0</v>
      </c>
      <c r="Y31" s="74"/>
      <c r="Z31" s="78" t="e">
        <f t="shared" si="12"/>
        <v>#DIV/0!</v>
      </c>
    </row>
    <row r="32" spans="1:26" ht="15" customHeight="1" x14ac:dyDescent="0.25">
      <c r="A32" s="56">
        <v>27</v>
      </c>
      <c r="B32" s="57">
        <v>31</v>
      </c>
      <c r="C32" s="52">
        <f t="shared" si="2"/>
        <v>1203.42</v>
      </c>
      <c r="D32" s="57">
        <v>48</v>
      </c>
      <c r="E32" s="52">
        <f t="shared" si="3"/>
        <v>3726.7200000000003</v>
      </c>
      <c r="F32" s="57">
        <v>79</v>
      </c>
      <c r="G32" s="1">
        <f t="shared" si="13"/>
        <v>6133.56</v>
      </c>
      <c r="H32" s="43">
        <v>2</v>
      </c>
      <c r="I32" s="1">
        <f t="shared" si="14"/>
        <v>84</v>
      </c>
      <c r="J32" s="43"/>
      <c r="K32" s="1">
        <f t="shared" si="4"/>
        <v>0</v>
      </c>
      <c r="L32" s="43"/>
      <c r="M32" s="1">
        <f t="shared" si="5"/>
        <v>0</v>
      </c>
      <c r="N32" s="43">
        <v>2</v>
      </c>
      <c r="O32" s="1">
        <f t="shared" si="6"/>
        <v>56</v>
      </c>
      <c r="P32" s="52">
        <f t="shared" si="7"/>
        <v>11203.7</v>
      </c>
      <c r="Q32" s="64">
        <v>8134.53</v>
      </c>
      <c r="R32" s="44">
        <f t="shared" si="8"/>
        <v>72.60574631594919</v>
      </c>
      <c r="S32" s="45"/>
      <c r="T32" s="1">
        <f t="shared" si="9"/>
        <v>0</v>
      </c>
      <c r="U32" s="43"/>
      <c r="V32" s="44" t="e">
        <f t="shared" si="10"/>
        <v>#DIV/0!</v>
      </c>
      <c r="W32" s="74"/>
      <c r="X32" s="78">
        <f t="shared" si="11"/>
        <v>0</v>
      </c>
      <c r="Y32" s="74"/>
      <c r="Z32" s="78" t="e">
        <f t="shared" si="12"/>
        <v>#DIV/0!</v>
      </c>
    </row>
    <row r="33" spans="1:26" ht="15" customHeight="1" x14ac:dyDescent="0.25">
      <c r="A33" s="56">
        <v>28</v>
      </c>
      <c r="B33" s="57">
        <v>34</v>
      </c>
      <c r="C33" s="52">
        <f t="shared" si="2"/>
        <v>1319.88</v>
      </c>
      <c r="D33" s="57">
        <v>37</v>
      </c>
      <c r="E33" s="52">
        <f t="shared" si="3"/>
        <v>2872.68</v>
      </c>
      <c r="F33" s="57">
        <v>56</v>
      </c>
      <c r="G33" s="1">
        <f t="shared" si="13"/>
        <v>4347.84</v>
      </c>
      <c r="H33" s="43">
        <v>3</v>
      </c>
      <c r="I33" s="1">
        <f t="shared" si="14"/>
        <v>126</v>
      </c>
      <c r="J33" s="43"/>
      <c r="K33" s="1">
        <f t="shared" si="4"/>
        <v>0</v>
      </c>
      <c r="L33" s="43"/>
      <c r="M33" s="1">
        <f t="shared" si="5"/>
        <v>0</v>
      </c>
      <c r="N33" s="43">
        <v>86</v>
      </c>
      <c r="O33" s="1">
        <f t="shared" si="6"/>
        <v>2408</v>
      </c>
      <c r="P33" s="52">
        <f t="shared" si="7"/>
        <v>11074.400000000001</v>
      </c>
      <c r="Q33" s="64">
        <v>8521.07</v>
      </c>
      <c r="R33" s="44">
        <f>+Q33/P33*100</f>
        <v>76.943852488622397</v>
      </c>
      <c r="S33" s="45">
        <v>2</v>
      </c>
      <c r="T33" s="1">
        <f t="shared" si="9"/>
        <v>28.82</v>
      </c>
      <c r="U33" s="43"/>
      <c r="V33" s="44">
        <f t="shared" si="10"/>
        <v>0</v>
      </c>
      <c r="W33" s="74"/>
      <c r="X33" s="78">
        <f t="shared" si="11"/>
        <v>0</v>
      </c>
      <c r="Y33" s="74"/>
      <c r="Z33" s="78" t="e">
        <f t="shared" si="12"/>
        <v>#DIV/0!</v>
      </c>
    </row>
    <row r="34" spans="1:26" ht="15" customHeight="1" x14ac:dyDescent="0.25">
      <c r="A34" s="42">
        <v>29</v>
      </c>
      <c r="B34" s="43">
        <v>58</v>
      </c>
      <c r="C34" s="52">
        <f t="shared" si="2"/>
        <v>2251.56</v>
      </c>
      <c r="D34" s="43">
        <v>124</v>
      </c>
      <c r="E34" s="52">
        <f t="shared" si="3"/>
        <v>9627.36</v>
      </c>
      <c r="F34" s="43">
        <v>223</v>
      </c>
      <c r="G34" s="1">
        <f t="shared" si="13"/>
        <v>17313.72</v>
      </c>
      <c r="H34" s="43">
        <v>8</v>
      </c>
      <c r="I34" s="1">
        <f t="shared" si="14"/>
        <v>336</v>
      </c>
      <c r="J34" s="43"/>
      <c r="K34" s="1">
        <f t="shared" si="4"/>
        <v>0</v>
      </c>
      <c r="L34" s="43"/>
      <c r="M34" s="1">
        <f t="shared" si="5"/>
        <v>0</v>
      </c>
      <c r="N34" s="43">
        <v>72</v>
      </c>
      <c r="O34" s="1">
        <f t="shared" si="6"/>
        <v>2016</v>
      </c>
      <c r="P34" s="52">
        <f t="shared" si="7"/>
        <v>31544.640000000003</v>
      </c>
      <c r="Q34" s="64">
        <v>10087.17</v>
      </c>
      <c r="R34" s="44">
        <f t="shared" si="8"/>
        <v>31.977445296570188</v>
      </c>
      <c r="S34" s="45"/>
      <c r="T34" s="1">
        <f t="shared" si="9"/>
        <v>0</v>
      </c>
      <c r="U34" s="43"/>
      <c r="V34" s="44" t="e">
        <f t="shared" si="10"/>
        <v>#DIV/0!</v>
      </c>
      <c r="W34" s="74"/>
      <c r="X34" s="78">
        <f t="shared" si="11"/>
        <v>0</v>
      </c>
      <c r="Y34" s="74"/>
      <c r="Z34" s="78" t="e">
        <f t="shared" si="12"/>
        <v>#DIV/0!</v>
      </c>
    </row>
    <row r="35" spans="1:26" ht="15" customHeight="1" x14ac:dyDescent="0.25">
      <c r="A35" s="42">
        <v>30</v>
      </c>
      <c r="B35" s="43">
        <v>71</v>
      </c>
      <c r="C35" s="52">
        <f t="shared" si="2"/>
        <v>2756.22</v>
      </c>
      <c r="D35" s="43">
        <v>119</v>
      </c>
      <c r="E35" s="52">
        <f t="shared" si="3"/>
        <v>9239.16</v>
      </c>
      <c r="F35" s="43">
        <v>245</v>
      </c>
      <c r="G35" s="1">
        <f t="shared" si="13"/>
        <v>19021.8</v>
      </c>
      <c r="H35" s="43">
        <v>7</v>
      </c>
      <c r="I35" s="1">
        <f t="shared" si="14"/>
        <v>294</v>
      </c>
      <c r="J35" s="43">
        <v>340</v>
      </c>
      <c r="K35" s="1">
        <f t="shared" si="4"/>
        <v>12920</v>
      </c>
      <c r="L35" s="43"/>
      <c r="M35" s="1">
        <f t="shared" si="5"/>
        <v>0</v>
      </c>
      <c r="N35" s="43">
        <v>96</v>
      </c>
      <c r="O35" s="1">
        <f t="shared" si="6"/>
        <v>2688</v>
      </c>
      <c r="P35" s="52">
        <f t="shared" si="7"/>
        <v>46919.180000000008</v>
      </c>
      <c r="Q35" s="64">
        <v>13936.47</v>
      </c>
      <c r="R35" s="44">
        <f t="shared" si="8"/>
        <v>29.70314059197112</v>
      </c>
      <c r="S35" s="45"/>
      <c r="T35" s="1">
        <f t="shared" si="9"/>
        <v>0</v>
      </c>
      <c r="U35" s="43">
        <v>750.47</v>
      </c>
      <c r="V35" s="44" t="e">
        <f t="shared" si="10"/>
        <v>#DIV/0!</v>
      </c>
      <c r="W35" s="74"/>
      <c r="X35" s="78">
        <f t="shared" si="11"/>
        <v>0</v>
      </c>
      <c r="Y35" s="74"/>
      <c r="Z35" s="78" t="e">
        <f t="shared" si="12"/>
        <v>#DIV/0!</v>
      </c>
    </row>
    <row r="36" spans="1:26" ht="36.75" customHeight="1" thickBot="1" x14ac:dyDescent="0.3">
      <c r="A36" s="58" t="s">
        <v>7</v>
      </c>
      <c r="B36" s="59">
        <f t="shared" ref="B36:Q36" si="15">SUM(B6:B35)</f>
        <v>1891</v>
      </c>
      <c r="C36" s="60">
        <f t="shared" si="15"/>
        <v>73408.62000000001</v>
      </c>
      <c r="D36" s="59">
        <f t="shared" si="15"/>
        <v>2352</v>
      </c>
      <c r="E36" s="60">
        <f t="shared" si="15"/>
        <v>182609.28</v>
      </c>
      <c r="F36" s="59">
        <f t="shared" si="15"/>
        <v>4024</v>
      </c>
      <c r="G36" s="60">
        <f t="shared" si="15"/>
        <v>312423.36000000004</v>
      </c>
      <c r="H36" s="59">
        <f t="shared" si="15"/>
        <v>25</v>
      </c>
      <c r="I36" s="60">
        <f t="shared" si="15"/>
        <v>1050</v>
      </c>
      <c r="J36" s="59">
        <f t="shared" si="15"/>
        <v>340</v>
      </c>
      <c r="K36" s="60">
        <f t="shared" si="15"/>
        <v>12920</v>
      </c>
      <c r="L36" s="59">
        <f t="shared" si="15"/>
        <v>18</v>
      </c>
      <c r="M36" s="60">
        <f t="shared" si="15"/>
        <v>1404</v>
      </c>
      <c r="N36" s="59">
        <f t="shared" si="15"/>
        <v>826</v>
      </c>
      <c r="O36" s="60">
        <f t="shared" si="15"/>
        <v>23128</v>
      </c>
      <c r="P36" s="60">
        <f t="shared" si="15"/>
        <v>606943.26</v>
      </c>
      <c r="Q36" s="59">
        <f t="shared" si="15"/>
        <v>270172.33</v>
      </c>
      <c r="R36" s="61">
        <f>+Q36/P36*100</f>
        <v>44.513605769343251</v>
      </c>
      <c r="S36" s="59">
        <f>SUM(S6:S35)</f>
        <v>324</v>
      </c>
      <c r="T36" s="60">
        <f>SUM(T6:T35)</f>
        <v>4668.84</v>
      </c>
      <c r="U36" s="59">
        <f>SUM(U6:U35)</f>
        <v>6188.07</v>
      </c>
      <c r="V36" s="62">
        <f>+U36/T36*100</f>
        <v>132.53977433366745</v>
      </c>
      <c r="W36" s="74">
        <f>+SUM(W6:W35)</f>
        <v>213</v>
      </c>
      <c r="X36" s="78">
        <f>SUM(X6:X35)</f>
        <v>17040</v>
      </c>
      <c r="Y36" s="74">
        <f>+SUM(Y6:Y35)</f>
        <v>10987.69</v>
      </c>
      <c r="Z36" s="78">
        <f t="shared" si="12"/>
        <v>64.481748826291081</v>
      </c>
    </row>
    <row r="37" spans="1:26" ht="15.75" thickTop="1" x14ac:dyDescent="0.25"/>
    <row r="41" spans="1:26" ht="15.75" thickBot="1" x14ac:dyDescent="0.3"/>
    <row r="42" spans="1:26" x14ac:dyDescent="0.25">
      <c r="M42" s="73"/>
    </row>
  </sheetData>
  <sheetProtection algorithmName="SHA-512" hashValue="jpl56JbUu2PB0wNGBlpIrSLKsvYidhjHlt5LbmJHRZxnueTgHp6amAznTK+hfY1nakLcLbTxrtSOBBLDpEN/2g==" saltValue="JS9gaflOWHm20ONntIiGqg==" spinCount="100000" sheet="1" scenarios="1" sort="0" autoFilter="0"/>
  <mergeCells count="7">
    <mergeCell ref="A1:X1"/>
    <mergeCell ref="A2:X2"/>
    <mergeCell ref="A3:X3"/>
    <mergeCell ref="W4:Z4"/>
    <mergeCell ref="A4:A5"/>
    <mergeCell ref="B4:R4"/>
    <mergeCell ref="S4:V4"/>
  </mergeCells>
  <pageMargins left="0.11811023622047245" right="0.11811023622047245" top="0.35433070866141736" bottom="0.35433070866141736" header="0.31496062992125984" footer="0.31496062992125984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B0DD-75D6-45CE-A22C-7DED2CEDCD3A}">
  <sheetPr>
    <pageSetUpPr fitToPage="1"/>
  </sheetPr>
  <dimension ref="A1:AD4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W6" sqref="W6:W36"/>
    </sheetView>
  </sheetViews>
  <sheetFormatPr defaultRowHeight="15" x14ac:dyDescent="0.25"/>
  <cols>
    <col min="1" max="1" width="12" customWidth="1"/>
    <col min="2" max="2" width="8.85546875" customWidth="1"/>
    <col min="3" max="3" width="5.140625" hidden="1" customWidth="1"/>
    <col min="4" max="4" width="6.140625" customWidth="1"/>
    <col min="5" max="5" width="0.140625" customWidth="1"/>
    <col min="6" max="6" width="9.140625" customWidth="1"/>
    <col min="7" max="7" width="0.28515625" customWidth="1"/>
    <col min="8" max="8" width="5.85546875" bestFit="1" customWidth="1"/>
    <col min="9" max="9" width="8.5703125" customWidth="1"/>
    <col min="10" max="10" width="6.42578125" bestFit="1" customWidth="1"/>
    <col min="11" max="15" width="9.28515625" customWidth="1"/>
    <col min="16" max="16" width="8.140625" customWidth="1"/>
    <col min="17" max="17" width="9.5703125" customWidth="1"/>
    <col min="18" max="18" width="11.7109375" customWidth="1"/>
    <col min="19" max="19" width="9.28515625" customWidth="1"/>
    <col min="20" max="20" width="10.5703125" style="2" bestFit="1" customWidth="1"/>
    <col min="21" max="21" width="15.140625" style="2" customWidth="1"/>
    <col min="22" max="22" width="10.7109375" style="2" customWidth="1"/>
    <col min="23" max="23" width="11.7109375" customWidth="1"/>
    <col min="24" max="24" width="8.85546875" customWidth="1"/>
    <col min="25" max="25" width="16.42578125" customWidth="1"/>
    <col min="26" max="26" width="10.140625" style="39" customWidth="1"/>
    <col min="27" max="27" width="9.140625" style="111"/>
    <col min="29" max="29" width="10.7109375" customWidth="1"/>
    <col min="30" max="30" width="9.7109375" customWidth="1"/>
  </cols>
  <sheetData>
    <row r="1" spans="1:30" ht="27" customHeight="1" thickBot="1" x14ac:dyDescent="0.4">
      <c r="A1" s="339" t="s">
        <v>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1"/>
    </row>
    <row r="2" spans="1:30" ht="18" customHeight="1" thickBot="1" x14ac:dyDescent="0.4">
      <c r="A2" s="339" t="s">
        <v>31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  <c r="Y2" s="340"/>
      <c r="Z2" s="340"/>
      <c r="AA2" s="340"/>
      <c r="AB2" s="340"/>
      <c r="AC2" s="340"/>
      <c r="AD2" s="341"/>
    </row>
    <row r="3" spans="1:30" ht="18" customHeight="1" thickBot="1" x14ac:dyDescent="0.4">
      <c r="A3" s="342" t="s">
        <v>32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4"/>
    </row>
    <row r="4" spans="1:30" ht="19.5" customHeight="1" thickBot="1" x14ac:dyDescent="0.35">
      <c r="A4" s="347" t="s">
        <v>33</v>
      </c>
      <c r="B4" s="359" t="s">
        <v>25</v>
      </c>
      <c r="C4" s="360"/>
      <c r="D4" s="360"/>
      <c r="E4" s="360"/>
      <c r="F4" s="360"/>
      <c r="G4" s="360"/>
      <c r="H4" s="360"/>
      <c r="I4" s="360"/>
      <c r="J4" s="360"/>
      <c r="K4" s="360"/>
      <c r="L4" s="360"/>
      <c r="M4" s="361"/>
      <c r="N4" s="356" t="s">
        <v>37</v>
      </c>
      <c r="O4" s="357"/>
      <c r="P4" s="357"/>
      <c r="Q4" s="357"/>
      <c r="R4" s="357"/>
      <c r="S4" s="358"/>
      <c r="T4" s="362" t="s">
        <v>39</v>
      </c>
      <c r="U4" s="363"/>
      <c r="V4" s="364"/>
      <c r="W4" s="351" t="s">
        <v>17</v>
      </c>
      <c r="X4" s="352"/>
      <c r="Y4" s="352"/>
      <c r="Z4" s="352"/>
      <c r="AA4" s="353" t="s">
        <v>41</v>
      </c>
      <c r="AB4" s="354"/>
      <c r="AC4" s="354"/>
      <c r="AD4" s="355"/>
    </row>
    <row r="5" spans="1:30" ht="45" customHeight="1" thickBot="1" x14ac:dyDescent="0.3">
      <c r="A5" s="348"/>
      <c r="B5" s="66" t="s">
        <v>2</v>
      </c>
      <c r="C5" s="67" t="s">
        <v>14</v>
      </c>
      <c r="D5" s="67" t="s">
        <v>3</v>
      </c>
      <c r="E5" s="67" t="s">
        <v>14</v>
      </c>
      <c r="F5" s="67" t="s">
        <v>4</v>
      </c>
      <c r="G5" s="68" t="s">
        <v>14</v>
      </c>
      <c r="H5" s="69" t="s">
        <v>9</v>
      </c>
      <c r="I5" s="69" t="s">
        <v>14</v>
      </c>
      <c r="J5" s="101" t="s">
        <v>19</v>
      </c>
      <c r="K5" s="102" t="s">
        <v>28</v>
      </c>
      <c r="L5" s="102" t="s">
        <v>38</v>
      </c>
      <c r="M5" s="102" t="s">
        <v>28</v>
      </c>
      <c r="N5" s="98" t="s">
        <v>40</v>
      </c>
      <c r="O5" s="100" t="s">
        <v>14</v>
      </c>
      <c r="P5" s="100" t="s">
        <v>35</v>
      </c>
      <c r="Q5" s="100" t="s">
        <v>28</v>
      </c>
      <c r="R5" s="100" t="s">
        <v>36</v>
      </c>
      <c r="S5" s="99" t="s">
        <v>28</v>
      </c>
      <c r="T5" s="71" t="s">
        <v>13</v>
      </c>
      <c r="U5" s="67" t="s">
        <v>0</v>
      </c>
      <c r="V5" s="72" t="s">
        <v>20</v>
      </c>
      <c r="W5" s="87" t="s">
        <v>21</v>
      </c>
      <c r="X5" s="88" t="s">
        <v>15</v>
      </c>
      <c r="Y5" s="89" t="s">
        <v>6</v>
      </c>
      <c r="Z5" s="90" t="s">
        <v>16</v>
      </c>
      <c r="AA5" s="103" t="s">
        <v>42</v>
      </c>
      <c r="AB5" s="96" t="s">
        <v>14</v>
      </c>
      <c r="AC5" s="97" t="s">
        <v>34</v>
      </c>
      <c r="AD5" s="103" t="s">
        <v>43</v>
      </c>
    </row>
    <row r="6" spans="1:30" ht="15" customHeight="1" x14ac:dyDescent="0.25">
      <c r="A6" s="55">
        <v>1</v>
      </c>
      <c r="B6" s="51">
        <v>163</v>
      </c>
      <c r="C6" s="52">
        <f>+B6*38.82</f>
        <v>6327.66</v>
      </c>
      <c r="D6" s="51">
        <v>189</v>
      </c>
      <c r="E6" s="52">
        <f>+D6*77.64</f>
        <v>14673.960000000001</v>
      </c>
      <c r="F6" s="51">
        <v>210</v>
      </c>
      <c r="G6" s="52">
        <f t="shared" ref="G6:G7" si="0">77.64*F6</f>
        <v>16304.4</v>
      </c>
      <c r="H6" s="51">
        <v>14</v>
      </c>
      <c r="I6" s="52">
        <f t="shared" ref="I6:I7" si="1">42*H6</f>
        <v>588</v>
      </c>
      <c r="J6" s="51"/>
      <c r="K6" s="52">
        <f>+J6*78</f>
        <v>0</v>
      </c>
      <c r="L6" s="51">
        <v>72</v>
      </c>
      <c r="M6" s="52">
        <f>+L6*28</f>
        <v>2016</v>
      </c>
      <c r="N6" s="51">
        <v>315</v>
      </c>
      <c r="O6" s="52">
        <f>+N6*38</f>
        <v>11970</v>
      </c>
      <c r="P6" s="51">
        <v>142</v>
      </c>
      <c r="Q6" s="52">
        <f>+P6*14.41</f>
        <v>2046.22</v>
      </c>
      <c r="R6" s="51">
        <v>31</v>
      </c>
      <c r="S6" s="52">
        <f>+R6*28</f>
        <v>868</v>
      </c>
      <c r="T6" s="94">
        <f>+S6+Q6+K6+I6+G6+E6+C6+O6+M6</f>
        <v>54794.240000000005</v>
      </c>
      <c r="U6" s="91">
        <v>23688.61</v>
      </c>
      <c r="V6" s="53">
        <f>+U6/T6*100</f>
        <v>43.231934597505131</v>
      </c>
      <c r="W6" s="54">
        <v>25</v>
      </c>
      <c r="X6" s="52">
        <f>14.41*W6</f>
        <v>360.25</v>
      </c>
      <c r="Y6" s="51"/>
      <c r="Z6" s="53">
        <f>+Y6/X6*100</f>
        <v>0</v>
      </c>
      <c r="AA6" s="110">
        <v>75</v>
      </c>
      <c r="AB6" s="78">
        <f>+AA6*38</f>
        <v>2850</v>
      </c>
      <c r="AC6" s="74"/>
      <c r="AD6" s="105">
        <f>+AC6/AB6*100</f>
        <v>0</v>
      </c>
    </row>
    <row r="7" spans="1:30" ht="15" customHeight="1" x14ac:dyDescent="0.25">
      <c r="A7" s="42">
        <v>2</v>
      </c>
      <c r="B7" s="43">
        <v>95</v>
      </c>
      <c r="C7" s="52">
        <f t="shared" ref="C7:C36" si="2">+B7*38.82</f>
        <v>3687.9</v>
      </c>
      <c r="D7" s="43">
        <v>132</v>
      </c>
      <c r="E7" s="52">
        <f t="shared" ref="E7:E35" si="3">+D7*77.64</f>
        <v>10248.48</v>
      </c>
      <c r="F7" s="43">
        <v>201</v>
      </c>
      <c r="G7" s="1">
        <f t="shared" si="0"/>
        <v>15605.64</v>
      </c>
      <c r="H7" s="43"/>
      <c r="I7" s="1">
        <f t="shared" si="1"/>
        <v>0</v>
      </c>
      <c r="J7" s="43">
        <v>130</v>
      </c>
      <c r="K7" s="52">
        <f t="shared" ref="K7:K36" si="4">+J7*78</f>
        <v>10140</v>
      </c>
      <c r="L7" s="43">
        <v>105</v>
      </c>
      <c r="M7" s="52">
        <f t="shared" ref="M7:M36" si="5">+L7*28</f>
        <v>2940</v>
      </c>
      <c r="N7" s="43">
        <v>315</v>
      </c>
      <c r="O7" s="52">
        <f t="shared" ref="O7:O36" si="6">+N7*38</f>
        <v>11970</v>
      </c>
      <c r="P7" s="43">
        <v>142</v>
      </c>
      <c r="Q7" s="52">
        <f t="shared" ref="Q7:Q36" si="7">+P7*14.41</f>
        <v>2046.22</v>
      </c>
      <c r="R7" s="43">
        <v>31</v>
      </c>
      <c r="S7" s="52">
        <f t="shared" ref="S7:S36" si="8">+R7*28</f>
        <v>868</v>
      </c>
      <c r="T7" s="94">
        <f t="shared" ref="T7:T36" si="9">+S7+Q7+K7+I7+G7+E7+C7+O7+M7</f>
        <v>57506.239999999998</v>
      </c>
      <c r="U7" s="92">
        <v>16552.98</v>
      </c>
      <c r="V7" s="44">
        <f t="shared" ref="V7:V36" si="10">+U7/T7*100</f>
        <v>28.78466754216586</v>
      </c>
      <c r="W7" s="45">
        <v>25</v>
      </c>
      <c r="X7" s="1">
        <f t="shared" ref="X7:X36" si="11">14.41*W7</f>
        <v>360.25</v>
      </c>
      <c r="Y7" s="43"/>
      <c r="Z7" s="44">
        <f t="shared" ref="Z7:Z36" si="12">+Y7/X7*100</f>
        <v>0</v>
      </c>
      <c r="AA7" s="110">
        <v>75</v>
      </c>
      <c r="AB7" s="78">
        <f t="shared" ref="AB7:AB36" si="13">+AA7*38</f>
        <v>2850</v>
      </c>
      <c r="AC7" s="74"/>
      <c r="AD7" s="105">
        <f t="shared" ref="AD7:AD37" si="14">+AC7/AB7*100</f>
        <v>0</v>
      </c>
    </row>
    <row r="8" spans="1:30" ht="15" customHeight="1" x14ac:dyDescent="0.25">
      <c r="A8" s="42">
        <v>3</v>
      </c>
      <c r="B8" s="43">
        <v>104</v>
      </c>
      <c r="C8" s="52">
        <f t="shared" si="2"/>
        <v>4037.28</v>
      </c>
      <c r="D8" s="43">
        <v>75</v>
      </c>
      <c r="E8" s="52">
        <f t="shared" si="3"/>
        <v>5823</v>
      </c>
      <c r="F8" s="43">
        <v>95</v>
      </c>
      <c r="G8" s="1">
        <f>77.64*F8</f>
        <v>7375.8</v>
      </c>
      <c r="H8" s="43"/>
      <c r="I8" s="1">
        <f>42*H8</f>
        <v>0</v>
      </c>
      <c r="J8" s="43"/>
      <c r="K8" s="52">
        <f t="shared" si="4"/>
        <v>0</v>
      </c>
      <c r="L8" s="43">
        <v>6</v>
      </c>
      <c r="M8" s="52">
        <f t="shared" si="5"/>
        <v>168</v>
      </c>
      <c r="N8" s="43">
        <v>315</v>
      </c>
      <c r="O8" s="52">
        <f t="shared" si="6"/>
        <v>11970</v>
      </c>
      <c r="P8" s="43">
        <v>157</v>
      </c>
      <c r="Q8" s="52">
        <f t="shared" si="7"/>
        <v>2262.37</v>
      </c>
      <c r="R8" s="43">
        <v>26</v>
      </c>
      <c r="S8" s="52">
        <f t="shared" si="8"/>
        <v>728</v>
      </c>
      <c r="T8" s="94">
        <f t="shared" si="9"/>
        <v>32364.45</v>
      </c>
      <c r="U8" s="92">
        <v>18078.61</v>
      </c>
      <c r="V8" s="44">
        <f t="shared" si="10"/>
        <v>55.859469263342952</v>
      </c>
      <c r="W8" s="45">
        <v>6</v>
      </c>
      <c r="X8" s="1">
        <f t="shared" si="11"/>
        <v>86.460000000000008</v>
      </c>
      <c r="Y8" s="43"/>
      <c r="Z8" s="44">
        <f t="shared" si="12"/>
        <v>0</v>
      </c>
      <c r="AA8" s="110">
        <v>75</v>
      </c>
      <c r="AB8" s="78">
        <f t="shared" si="13"/>
        <v>2850</v>
      </c>
      <c r="AC8" s="74">
        <v>9312.35</v>
      </c>
      <c r="AD8" s="105">
        <f t="shared" si="14"/>
        <v>326.74912280701756</v>
      </c>
    </row>
    <row r="9" spans="1:30" ht="15" customHeight="1" x14ac:dyDescent="0.25">
      <c r="A9" s="56">
        <v>4</v>
      </c>
      <c r="B9" s="57">
        <v>56</v>
      </c>
      <c r="C9" s="86">
        <f t="shared" si="2"/>
        <v>2173.92</v>
      </c>
      <c r="D9" s="57">
        <v>55</v>
      </c>
      <c r="E9" s="86">
        <f t="shared" si="3"/>
        <v>4270.2</v>
      </c>
      <c r="F9" s="57">
        <v>156</v>
      </c>
      <c r="G9" s="1">
        <f t="shared" ref="G9:G36" si="15">77.64*F9</f>
        <v>12111.84</v>
      </c>
      <c r="H9" s="43">
        <v>1</v>
      </c>
      <c r="I9" s="1">
        <f t="shared" ref="I9:I36" si="16">42*H9</f>
        <v>42</v>
      </c>
      <c r="J9" s="43"/>
      <c r="K9" s="52">
        <f t="shared" si="4"/>
        <v>0</v>
      </c>
      <c r="L9" s="43"/>
      <c r="M9" s="52">
        <f t="shared" si="5"/>
        <v>0</v>
      </c>
      <c r="N9" s="43">
        <v>157</v>
      </c>
      <c r="O9" s="52">
        <f t="shared" si="6"/>
        <v>5966</v>
      </c>
      <c r="P9" s="43">
        <v>2</v>
      </c>
      <c r="Q9" s="52">
        <f t="shared" si="7"/>
        <v>28.82</v>
      </c>
      <c r="R9" s="43">
        <v>11</v>
      </c>
      <c r="S9" s="52">
        <f t="shared" si="8"/>
        <v>308</v>
      </c>
      <c r="T9" s="94">
        <f t="shared" si="9"/>
        <v>24900.78</v>
      </c>
      <c r="U9" s="92">
        <v>15297.28</v>
      </c>
      <c r="V9" s="44">
        <f t="shared" si="10"/>
        <v>61.432935032557225</v>
      </c>
      <c r="W9" s="45"/>
      <c r="X9" s="1">
        <f t="shared" si="11"/>
        <v>0</v>
      </c>
      <c r="Y9" s="43"/>
      <c r="Z9" s="44" t="e">
        <f t="shared" si="12"/>
        <v>#DIV/0!</v>
      </c>
      <c r="AA9" s="110">
        <v>75</v>
      </c>
      <c r="AB9" s="78">
        <f t="shared" si="13"/>
        <v>2850</v>
      </c>
      <c r="AC9" s="74"/>
      <c r="AD9" s="105">
        <f t="shared" si="14"/>
        <v>0</v>
      </c>
    </row>
    <row r="10" spans="1:30" ht="15" customHeight="1" x14ac:dyDescent="0.25">
      <c r="A10" s="56">
        <v>5</v>
      </c>
      <c r="B10" s="57">
        <v>56</v>
      </c>
      <c r="C10" s="86">
        <f t="shared" si="2"/>
        <v>2173.92</v>
      </c>
      <c r="D10" s="57">
        <v>35</v>
      </c>
      <c r="E10" s="86">
        <f t="shared" si="3"/>
        <v>2717.4</v>
      </c>
      <c r="F10" s="57">
        <v>65</v>
      </c>
      <c r="G10" s="1">
        <f t="shared" si="15"/>
        <v>5046.6000000000004</v>
      </c>
      <c r="H10" s="43">
        <v>3</v>
      </c>
      <c r="I10" s="1">
        <f t="shared" si="16"/>
        <v>126</v>
      </c>
      <c r="J10" s="43"/>
      <c r="K10" s="52">
        <f t="shared" si="4"/>
        <v>0</v>
      </c>
      <c r="L10" s="43"/>
      <c r="M10" s="52">
        <f t="shared" si="5"/>
        <v>0</v>
      </c>
      <c r="N10" s="43">
        <v>315</v>
      </c>
      <c r="O10" s="52">
        <f t="shared" si="6"/>
        <v>11970</v>
      </c>
      <c r="P10" s="43"/>
      <c r="Q10" s="52">
        <f t="shared" si="7"/>
        <v>0</v>
      </c>
      <c r="R10" s="43">
        <v>3</v>
      </c>
      <c r="S10" s="52">
        <f t="shared" si="8"/>
        <v>84</v>
      </c>
      <c r="T10" s="94">
        <f t="shared" si="9"/>
        <v>22117.919999999998</v>
      </c>
      <c r="U10" s="92">
        <v>16814.88</v>
      </c>
      <c r="V10" s="44">
        <f t="shared" si="10"/>
        <v>76.023785238394936</v>
      </c>
      <c r="W10" s="45"/>
      <c r="X10" s="1">
        <f t="shared" si="11"/>
        <v>0</v>
      </c>
      <c r="Y10" s="43"/>
      <c r="Z10" s="44" t="e">
        <f t="shared" si="12"/>
        <v>#DIV/0!</v>
      </c>
      <c r="AA10" s="110">
        <v>75</v>
      </c>
      <c r="AB10" s="78">
        <f t="shared" si="13"/>
        <v>2850</v>
      </c>
      <c r="AC10" s="74">
        <v>415.55</v>
      </c>
      <c r="AD10" s="105">
        <f t="shared" si="14"/>
        <v>14.580701754385966</v>
      </c>
    </row>
    <row r="11" spans="1:30" ht="15" customHeight="1" x14ac:dyDescent="0.25">
      <c r="A11" s="42">
        <v>6</v>
      </c>
      <c r="B11" s="43">
        <v>80</v>
      </c>
      <c r="C11" s="51">
        <f t="shared" si="2"/>
        <v>3105.6</v>
      </c>
      <c r="D11" s="43">
        <v>150</v>
      </c>
      <c r="E11" s="51">
        <f t="shared" si="3"/>
        <v>11646</v>
      </c>
      <c r="F11" s="43">
        <v>250</v>
      </c>
      <c r="G11" s="1">
        <f t="shared" si="15"/>
        <v>19410</v>
      </c>
      <c r="H11" s="43">
        <v>5</v>
      </c>
      <c r="I11" s="1">
        <f t="shared" si="16"/>
        <v>210</v>
      </c>
      <c r="J11" s="43"/>
      <c r="K11" s="52">
        <f t="shared" si="4"/>
        <v>0</v>
      </c>
      <c r="L11" s="43">
        <v>195</v>
      </c>
      <c r="M11" s="52">
        <f t="shared" si="5"/>
        <v>5460</v>
      </c>
      <c r="N11" s="43">
        <v>220</v>
      </c>
      <c r="O11" s="52">
        <f t="shared" si="6"/>
        <v>8360</v>
      </c>
      <c r="P11" s="43">
        <v>157</v>
      </c>
      <c r="Q11" s="52">
        <f t="shared" si="7"/>
        <v>2262.37</v>
      </c>
      <c r="R11" s="43">
        <v>35</v>
      </c>
      <c r="S11" s="52">
        <f t="shared" si="8"/>
        <v>980</v>
      </c>
      <c r="T11" s="94">
        <f t="shared" si="9"/>
        <v>51433.969999999994</v>
      </c>
      <c r="U11" s="92">
        <v>16780.29</v>
      </c>
      <c r="V11" s="44">
        <f t="shared" si="10"/>
        <v>32.624916956633918</v>
      </c>
      <c r="W11" s="45">
        <v>31</v>
      </c>
      <c r="X11" s="1">
        <f t="shared" si="11"/>
        <v>446.71</v>
      </c>
      <c r="Y11" s="43"/>
      <c r="Z11" s="44">
        <f t="shared" si="12"/>
        <v>0</v>
      </c>
      <c r="AA11" s="110">
        <v>75</v>
      </c>
      <c r="AB11" s="78">
        <f t="shared" si="13"/>
        <v>2850</v>
      </c>
      <c r="AC11" s="74"/>
      <c r="AD11" s="105">
        <f t="shared" si="14"/>
        <v>0</v>
      </c>
    </row>
    <row r="12" spans="1:30" ht="13.5" customHeight="1" x14ac:dyDescent="0.25">
      <c r="A12" s="42">
        <v>7</v>
      </c>
      <c r="B12" s="43">
        <v>132</v>
      </c>
      <c r="C12" s="51">
        <f t="shared" si="2"/>
        <v>5124.24</v>
      </c>
      <c r="D12" s="43">
        <v>167</v>
      </c>
      <c r="E12" s="51">
        <f t="shared" si="3"/>
        <v>12965.88</v>
      </c>
      <c r="F12" s="43">
        <v>189</v>
      </c>
      <c r="G12" s="1">
        <f t="shared" si="15"/>
        <v>14673.960000000001</v>
      </c>
      <c r="H12" s="43"/>
      <c r="I12" s="1">
        <f t="shared" si="16"/>
        <v>0</v>
      </c>
      <c r="J12" s="43"/>
      <c r="K12" s="52">
        <f t="shared" si="4"/>
        <v>0</v>
      </c>
      <c r="L12" s="43">
        <v>73</v>
      </c>
      <c r="M12" s="52">
        <f t="shared" si="5"/>
        <v>2044</v>
      </c>
      <c r="N12" s="43">
        <v>315</v>
      </c>
      <c r="O12" s="52">
        <f t="shared" si="6"/>
        <v>11970</v>
      </c>
      <c r="P12" s="43">
        <v>142</v>
      </c>
      <c r="Q12" s="52">
        <f t="shared" si="7"/>
        <v>2046.22</v>
      </c>
      <c r="R12" s="43">
        <v>30</v>
      </c>
      <c r="S12" s="52">
        <f t="shared" si="8"/>
        <v>840</v>
      </c>
      <c r="T12" s="94">
        <f t="shared" si="9"/>
        <v>49664.299999999996</v>
      </c>
      <c r="U12" s="92">
        <v>17045.259999999998</v>
      </c>
      <c r="V12" s="44">
        <f t="shared" si="10"/>
        <v>34.320950864101576</v>
      </c>
      <c r="W12" s="45">
        <v>30</v>
      </c>
      <c r="X12" s="1">
        <f t="shared" si="11"/>
        <v>432.3</v>
      </c>
      <c r="Y12" s="43">
        <v>165.7</v>
      </c>
      <c r="Z12" s="44">
        <f t="shared" si="12"/>
        <v>38.329863520703213</v>
      </c>
      <c r="AA12" s="110">
        <v>75</v>
      </c>
      <c r="AB12" s="78">
        <f t="shared" si="13"/>
        <v>2850</v>
      </c>
      <c r="AC12" s="74"/>
      <c r="AD12" s="105">
        <f t="shared" si="14"/>
        <v>0</v>
      </c>
    </row>
    <row r="13" spans="1:30" ht="15" customHeight="1" x14ac:dyDescent="0.25">
      <c r="A13" s="47">
        <v>8</v>
      </c>
      <c r="B13" s="48">
        <v>92</v>
      </c>
      <c r="C13" s="52">
        <f t="shared" si="2"/>
        <v>3571.44</v>
      </c>
      <c r="D13" s="48">
        <v>131</v>
      </c>
      <c r="E13" s="52">
        <f t="shared" si="3"/>
        <v>10170.84</v>
      </c>
      <c r="F13" s="48">
        <v>192</v>
      </c>
      <c r="G13" s="49">
        <f t="shared" si="15"/>
        <v>14906.880000000001</v>
      </c>
      <c r="H13" s="48"/>
      <c r="I13" s="49">
        <f t="shared" si="16"/>
        <v>0</v>
      </c>
      <c r="J13" s="43">
        <v>130</v>
      </c>
      <c r="K13" s="52">
        <f t="shared" si="4"/>
        <v>10140</v>
      </c>
      <c r="L13" s="43">
        <v>77</v>
      </c>
      <c r="M13" s="52">
        <f t="shared" si="5"/>
        <v>2156</v>
      </c>
      <c r="N13" s="48">
        <v>315</v>
      </c>
      <c r="O13" s="52">
        <f t="shared" si="6"/>
        <v>11970</v>
      </c>
      <c r="P13" s="48">
        <v>142</v>
      </c>
      <c r="Q13" s="52">
        <f t="shared" si="7"/>
        <v>2046.22</v>
      </c>
      <c r="R13" s="48">
        <v>74</v>
      </c>
      <c r="S13" s="52">
        <f t="shared" si="8"/>
        <v>2072</v>
      </c>
      <c r="T13" s="94">
        <f t="shared" si="9"/>
        <v>57033.380000000005</v>
      </c>
      <c r="U13" s="92">
        <v>23644.07</v>
      </c>
      <c r="V13" s="44">
        <f t="shared" si="10"/>
        <v>41.456547025619031</v>
      </c>
      <c r="W13" s="45">
        <v>38</v>
      </c>
      <c r="X13" s="1">
        <f t="shared" si="11"/>
        <v>547.58000000000004</v>
      </c>
      <c r="Y13" s="43"/>
      <c r="Z13" s="44">
        <f t="shared" si="12"/>
        <v>0</v>
      </c>
      <c r="AA13" s="110">
        <v>75</v>
      </c>
      <c r="AB13" s="78">
        <f t="shared" si="13"/>
        <v>2850</v>
      </c>
      <c r="AC13" s="74"/>
      <c r="AD13" s="105">
        <f t="shared" si="14"/>
        <v>0</v>
      </c>
    </row>
    <row r="14" spans="1:30" ht="15" customHeight="1" x14ac:dyDescent="0.25">
      <c r="A14" s="42">
        <v>9</v>
      </c>
      <c r="B14" s="43">
        <v>74</v>
      </c>
      <c r="C14" s="52">
        <f t="shared" si="2"/>
        <v>2872.68</v>
      </c>
      <c r="D14" s="43">
        <v>140</v>
      </c>
      <c r="E14" s="52">
        <f t="shared" si="3"/>
        <v>10869.6</v>
      </c>
      <c r="F14" s="43">
        <v>210</v>
      </c>
      <c r="G14" s="1">
        <f t="shared" si="15"/>
        <v>16304.4</v>
      </c>
      <c r="H14" s="43">
        <v>6</v>
      </c>
      <c r="I14" s="1">
        <f t="shared" si="16"/>
        <v>252</v>
      </c>
      <c r="J14" s="43"/>
      <c r="K14" s="52">
        <f t="shared" si="4"/>
        <v>0</v>
      </c>
      <c r="L14" s="43">
        <v>75</v>
      </c>
      <c r="M14" s="52">
        <f t="shared" si="5"/>
        <v>2100</v>
      </c>
      <c r="N14" s="43">
        <v>315</v>
      </c>
      <c r="O14" s="52">
        <f t="shared" si="6"/>
        <v>11970</v>
      </c>
      <c r="P14" s="43">
        <v>142</v>
      </c>
      <c r="Q14" s="52">
        <f t="shared" si="7"/>
        <v>2046.22</v>
      </c>
      <c r="R14" s="43">
        <v>35</v>
      </c>
      <c r="S14" s="52">
        <f t="shared" si="8"/>
        <v>980</v>
      </c>
      <c r="T14" s="94">
        <f t="shared" si="9"/>
        <v>47394.9</v>
      </c>
      <c r="U14" s="92">
        <v>21538.77</v>
      </c>
      <c r="V14" s="44">
        <f t="shared" si="10"/>
        <v>45.445332725673012</v>
      </c>
      <c r="W14" s="45">
        <v>26</v>
      </c>
      <c r="X14" s="1">
        <f t="shared" si="11"/>
        <v>374.66</v>
      </c>
      <c r="Y14" s="43"/>
      <c r="Z14" s="44">
        <f t="shared" si="12"/>
        <v>0</v>
      </c>
      <c r="AA14" s="110">
        <v>75</v>
      </c>
      <c r="AB14" s="78">
        <f t="shared" si="13"/>
        <v>2850</v>
      </c>
      <c r="AC14" s="74"/>
      <c r="AD14" s="105">
        <f t="shared" si="14"/>
        <v>0</v>
      </c>
    </row>
    <row r="15" spans="1:30" ht="15" customHeight="1" x14ac:dyDescent="0.25">
      <c r="A15" s="42">
        <v>10</v>
      </c>
      <c r="B15" s="43">
        <v>81</v>
      </c>
      <c r="C15" s="52">
        <f t="shared" si="2"/>
        <v>3144.42</v>
      </c>
      <c r="D15" s="43">
        <v>64</v>
      </c>
      <c r="E15" s="52">
        <f t="shared" si="3"/>
        <v>4968.96</v>
      </c>
      <c r="F15" s="43">
        <v>70</v>
      </c>
      <c r="G15" s="1">
        <f t="shared" si="15"/>
        <v>5434.8</v>
      </c>
      <c r="H15" s="43">
        <v>18</v>
      </c>
      <c r="I15" s="1">
        <f t="shared" si="16"/>
        <v>756</v>
      </c>
      <c r="J15" s="43"/>
      <c r="K15" s="52">
        <f t="shared" si="4"/>
        <v>0</v>
      </c>
      <c r="L15" s="43"/>
      <c r="M15" s="52">
        <f t="shared" si="5"/>
        <v>0</v>
      </c>
      <c r="N15" s="43">
        <v>300</v>
      </c>
      <c r="O15" s="52">
        <f t="shared" si="6"/>
        <v>11400</v>
      </c>
      <c r="P15" s="43">
        <v>142</v>
      </c>
      <c r="Q15" s="52">
        <f t="shared" si="7"/>
        <v>2046.22</v>
      </c>
      <c r="R15" s="43">
        <v>25</v>
      </c>
      <c r="S15" s="52">
        <f t="shared" si="8"/>
        <v>700</v>
      </c>
      <c r="T15" s="94">
        <f t="shared" si="9"/>
        <v>28450.400000000001</v>
      </c>
      <c r="U15" s="92">
        <v>21294.07</v>
      </c>
      <c r="V15" s="44">
        <f t="shared" si="10"/>
        <v>74.846293900964483</v>
      </c>
      <c r="W15" s="45"/>
      <c r="X15" s="1">
        <f t="shared" si="11"/>
        <v>0</v>
      </c>
      <c r="Y15" s="43"/>
      <c r="Z15" s="44" t="e">
        <f t="shared" si="12"/>
        <v>#DIV/0!</v>
      </c>
      <c r="AA15" s="110">
        <v>75</v>
      </c>
      <c r="AB15" s="78">
        <f t="shared" si="13"/>
        <v>2850</v>
      </c>
      <c r="AC15" s="74"/>
      <c r="AD15" s="105">
        <f t="shared" si="14"/>
        <v>0</v>
      </c>
    </row>
    <row r="16" spans="1:30" ht="15" customHeight="1" x14ac:dyDescent="0.25">
      <c r="A16" s="56">
        <v>11</v>
      </c>
      <c r="B16" s="57">
        <v>49</v>
      </c>
      <c r="C16" s="86">
        <f t="shared" si="2"/>
        <v>1902.18</v>
      </c>
      <c r="D16" s="57">
        <v>57</v>
      </c>
      <c r="E16" s="86">
        <f t="shared" si="3"/>
        <v>4425.4800000000005</v>
      </c>
      <c r="F16" s="57">
        <v>62</v>
      </c>
      <c r="G16" s="1">
        <f t="shared" si="15"/>
        <v>4813.68</v>
      </c>
      <c r="H16" s="43"/>
      <c r="I16" s="1">
        <f t="shared" si="16"/>
        <v>0</v>
      </c>
      <c r="J16" s="43">
        <v>2</v>
      </c>
      <c r="K16" s="52">
        <f t="shared" si="4"/>
        <v>156</v>
      </c>
      <c r="L16" s="43"/>
      <c r="M16" s="52">
        <f t="shared" si="5"/>
        <v>0</v>
      </c>
      <c r="N16" s="43">
        <v>315</v>
      </c>
      <c r="O16" s="52">
        <f t="shared" si="6"/>
        <v>11970</v>
      </c>
      <c r="P16" s="43"/>
      <c r="Q16" s="52">
        <f t="shared" si="7"/>
        <v>0</v>
      </c>
      <c r="R16" s="43">
        <v>1</v>
      </c>
      <c r="S16" s="52">
        <f t="shared" si="8"/>
        <v>28</v>
      </c>
      <c r="T16" s="94">
        <f t="shared" si="9"/>
        <v>23295.34</v>
      </c>
      <c r="U16" s="92">
        <v>15561.83</v>
      </c>
      <c r="V16" s="44">
        <f t="shared" si="10"/>
        <v>66.802330423166183</v>
      </c>
      <c r="W16" s="45"/>
      <c r="X16" s="1">
        <f t="shared" si="11"/>
        <v>0</v>
      </c>
      <c r="Y16" s="43"/>
      <c r="Z16" s="44" t="e">
        <f t="shared" si="12"/>
        <v>#DIV/0!</v>
      </c>
      <c r="AA16" s="110">
        <v>75</v>
      </c>
      <c r="AB16" s="78">
        <f t="shared" si="13"/>
        <v>2850</v>
      </c>
      <c r="AC16" s="74"/>
      <c r="AD16" s="105">
        <f t="shared" si="14"/>
        <v>0</v>
      </c>
    </row>
    <row r="17" spans="1:30" ht="15" customHeight="1" x14ac:dyDescent="0.25">
      <c r="A17" s="56">
        <v>12</v>
      </c>
      <c r="B17" s="57">
        <v>46</v>
      </c>
      <c r="C17" s="86">
        <f t="shared" si="2"/>
        <v>1785.72</v>
      </c>
      <c r="D17" s="57">
        <v>43</v>
      </c>
      <c r="E17" s="86">
        <f t="shared" si="3"/>
        <v>3338.52</v>
      </c>
      <c r="F17" s="57">
        <v>49</v>
      </c>
      <c r="G17" s="1">
        <f t="shared" si="15"/>
        <v>3804.36</v>
      </c>
      <c r="H17" s="43">
        <v>4</v>
      </c>
      <c r="I17" s="1">
        <f t="shared" si="16"/>
        <v>168</v>
      </c>
      <c r="J17" s="43"/>
      <c r="K17" s="52">
        <f t="shared" si="4"/>
        <v>0</v>
      </c>
      <c r="L17" s="43"/>
      <c r="M17" s="52">
        <f t="shared" si="5"/>
        <v>0</v>
      </c>
      <c r="N17" s="43">
        <v>300</v>
      </c>
      <c r="O17" s="52">
        <f t="shared" si="6"/>
        <v>11400</v>
      </c>
      <c r="P17" s="43"/>
      <c r="Q17" s="52">
        <f t="shared" si="7"/>
        <v>0</v>
      </c>
      <c r="R17" s="43">
        <v>1</v>
      </c>
      <c r="S17" s="52">
        <f t="shared" si="8"/>
        <v>28</v>
      </c>
      <c r="T17" s="94">
        <f t="shared" si="9"/>
        <v>20524.599999999999</v>
      </c>
      <c r="U17" s="92">
        <v>17761.55</v>
      </c>
      <c r="V17" s="44">
        <f t="shared" si="10"/>
        <v>86.5378618828138</v>
      </c>
      <c r="W17" s="45"/>
      <c r="X17" s="1">
        <f t="shared" si="11"/>
        <v>0</v>
      </c>
      <c r="Y17" s="43"/>
      <c r="Z17" s="44" t="e">
        <f t="shared" si="12"/>
        <v>#DIV/0!</v>
      </c>
      <c r="AA17" s="110">
        <v>75</v>
      </c>
      <c r="AB17" s="78">
        <f t="shared" si="13"/>
        <v>2850</v>
      </c>
      <c r="AC17" s="104">
        <v>9458.8700000000008</v>
      </c>
      <c r="AD17" s="105">
        <f t="shared" si="14"/>
        <v>331.89017543859649</v>
      </c>
    </row>
    <row r="18" spans="1:30" ht="15" customHeight="1" x14ac:dyDescent="0.25">
      <c r="A18" s="42">
        <v>13</v>
      </c>
      <c r="B18" s="43">
        <v>57</v>
      </c>
      <c r="C18" s="51">
        <f t="shared" si="2"/>
        <v>2212.7400000000002</v>
      </c>
      <c r="D18" s="43">
        <v>186</v>
      </c>
      <c r="E18" s="51">
        <f t="shared" si="3"/>
        <v>14441.04</v>
      </c>
      <c r="F18" s="43">
        <v>243</v>
      </c>
      <c r="G18" s="1">
        <f t="shared" si="15"/>
        <v>18866.52</v>
      </c>
      <c r="H18" s="43">
        <v>9</v>
      </c>
      <c r="I18" s="1">
        <f t="shared" si="16"/>
        <v>378</v>
      </c>
      <c r="J18" s="43">
        <v>15</v>
      </c>
      <c r="K18" s="52">
        <f t="shared" si="4"/>
        <v>1170</v>
      </c>
      <c r="L18" s="43">
        <v>344</v>
      </c>
      <c r="M18" s="52">
        <f t="shared" si="5"/>
        <v>9632</v>
      </c>
      <c r="N18" s="43">
        <v>300</v>
      </c>
      <c r="O18" s="52">
        <f t="shared" si="6"/>
        <v>11400</v>
      </c>
      <c r="P18" s="43">
        <v>142</v>
      </c>
      <c r="Q18" s="52">
        <f t="shared" si="7"/>
        <v>2046.22</v>
      </c>
      <c r="R18" s="43">
        <v>25</v>
      </c>
      <c r="S18" s="52">
        <f t="shared" si="8"/>
        <v>700</v>
      </c>
      <c r="T18" s="94">
        <f t="shared" si="9"/>
        <v>60846.52</v>
      </c>
      <c r="U18" s="92">
        <v>18694.97</v>
      </c>
      <c r="V18" s="44">
        <f t="shared" si="10"/>
        <v>30.724797408298787</v>
      </c>
      <c r="W18" s="45"/>
      <c r="X18" s="1">
        <f t="shared" si="11"/>
        <v>0</v>
      </c>
      <c r="Y18" s="43"/>
      <c r="Z18" s="44" t="e">
        <f t="shared" si="12"/>
        <v>#DIV/0!</v>
      </c>
      <c r="AA18" s="110">
        <v>75</v>
      </c>
      <c r="AB18" s="78">
        <f t="shared" si="13"/>
        <v>2850</v>
      </c>
      <c r="AC18" s="74"/>
      <c r="AD18" s="105">
        <f t="shared" si="14"/>
        <v>0</v>
      </c>
    </row>
    <row r="19" spans="1:30" ht="15" customHeight="1" x14ac:dyDescent="0.25">
      <c r="A19" s="42">
        <v>14</v>
      </c>
      <c r="B19" s="43">
        <v>112</v>
      </c>
      <c r="C19" s="51">
        <f t="shared" si="2"/>
        <v>4347.84</v>
      </c>
      <c r="D19" s="43">
        <v>168</v>
      </c>
      <c r="E19" s="51">
        <f t="shared" si="3"/>
        <v>13043.52</v>
      </c>
      <c r="F19" s="43">
        <v>216</v>
      </c>
      <c r="G19" s="1">
        <f t="shared" si="15"/>
        <v>16770.240000000002</v>
      </c>
      <c r="H19" s="43">
        <v>11</v>
      </c>
      <c r="I19" s="1">
        <f t="shared" si="16"/>
        <v>462</v>
      </c>
      <c r="J19" s="43"/>
      <c r="K19" s="52">
        <f t="shared" si="4"/>
        <v>0</v>
      </c>
      <c r="L19" s="43">
        <v>83</v>
      </c>
      <c r="M19" s="52">
        <f t="shared" si="5"/>
        <v>2324</v>
      </c>
      <c r="N19" s="43">
        <v>299</v>
      </c>
      <c r="O19" s="52">
        <f t="shared" si="6"/>
        <v>11362</v>
      </c>
      <c r="P19" s="43">
        <v>142</v>
      </c>
      <c r="Q19" s="52">
        <f t="shared" si="7"/>
        <v>2046.22</v>
      </c>
      <c r="R19" s="43">
        <v>38</v>
      </c>
      <c r="S19" s="52">
        <f t="shared" si="8"/>
        <v>1064</v>
      </c>
      <c r="T19" s="94">
        <f t="shared" si="9"/>
        <v>51419.820000000007</v>
      </c>
      <c r="U19" s="92">
        <v>19805.91</v>
      </c>
      <c r="V19" s="44">
        <f t="shared" si="10"/>
        <v>38.518046154187232</v>
      </c>
      <c r="W19" s="45">
        <v>30</v>
      </c>
      <c r="X19" s="1">
        <f t="shared" si="11"/>
        <v>432.3</v>
      </c>
      <c r="Y19" s="43">
        <v>482.84</v>
      </c>
      <c r="Z19" s="44">
        <f t="shared" si="12"/>
        <v>111.69095535507749</v>
      </c>
      <c r="AA19" s="110">
        <v>75</v>
      </c>
      <c r="AB19" s="78">
        <f t="shared" si="13"/>
        <v>2850</v>
      </c>
      <c r="AC19" s="74"/>
      <c r="AD19" s="105">
        <f t="shared" si="14"/>
        <v>0</v>
      </c>
    </row>
    <row r="20" spans="1:30" ht="15" customHeight="1" x14ac:dyDescent="0.25">
      <c r="A20" s="42">
        <v>15</v>
      </c>
      <c r="B20" s="48">
        <v>109</v>
      </c>
      <c r="C20" s="52">
        <f t="shared" si="2"/>
        <v>4231.38</v>
      </c>
      <c r="D20" s="48">
        <v>168</v>
      </c>
      <c r="E20" s="52">
        <f t="shared" si="3"/>
        <v>13043.52</v>
      </c>
      <c r="F20" s="48">
        <v>185</v>
      </c>
      <c r="G20" s="49">
        <f t="shared" si="15"/>
        <v>14363.4</v>
      </c>
      <c r="H20" s="48">
        <v>1</v>
      </c>
      <c r="I20" s="49">
        <f t="shared" si="16"/>
        <v>42</v>
      </c>
      <c r="J20" s="43">
        <v>22</v>
      </c>
      <c r="K20" s="52">
        <f t="shared" si="4"/>
        <v>1716</v>
      </c>
      <c r="L20" s="43">
        <v>172</v>
      </c>
      <c r="M20" s="52">
        <f t="shared" si="5"/>
        <v>4816</v>
      </c>
      <c r="N20" s="43">
        <v>308</v>
      </c>
      <c r="O20" s="52">
        <f t="shared" si="6"/>
        <v>11704</v>
      </c>
      <c r="P20" s="43">
        <v>142</v>
      </c>
      <c r="Q20" s="52">
        <f t="shared" si="7"/>
        <v>2046.22</v>
      </c>
      <c r="R20" s="43">
        <v>38</v>
      </c>
      <c r="S20" s="52">
        <f t="shared" si="8"/>
        <v>1064</v>
      </c>
      <c r="T20" s="94">
        <f t="shared" si="9"/>
        <v>53026.52</v>
      </c>
      <c r="U20" s="92">
        <v>23142.97</v>
      </c>
      <c r="V20" s="44">
        <f t="shared" si="10"/>
        <v>43.644142591292059</v>
      </c>
      <c r="W20" s="45">
        <v>28</v>
      </c>
      <c r="X20" s="1">
        <f t="shared" si="11"/>
        <v>403.48</v>
      </c>
      <c r="Y20" s="43"/>
      <c r="Z20" s="44">
        <f t="shared" si="12"/>
        <v>0</v>
      </c>
      <c r="AA20" s="110">
        <v>75</v>
      </c>
      <c r="AB20" s="78">
        <f t="shared" si="13"/>
        <v>2850</v>
      </c>
      <c r="AC20" s="74"/>
      <c r="AD20" s="105">
        <f t="shared" si="14"/>
        <v>0</v>
      </c>
    </row>
    <row r="21" spans="1:30" ht="15" customHeight="1" x14ac:dyDescent="0.25">
      <c r="A21" s="42">
        <v>16</v>
      </c>
      <c r="B21" s="43">
        <v>96</v>
      </c>
      <c r="C21" s="52">
        <f t="shared" si="2"/>
        <v>3726.7200000000003</v>
      </c>
      <c r="D21" s="43">
        <v>140</v>
      </c>
      <c r="E21" s="52">
        <f t="shared" si="3"/>
        <v>10869.6</v>
      </c>
      <c r="F21" s="43">
        <v>215</v>
      </c>
      <c r="G21" s="1">
        <f t="shared" si="15"/>
        <v>16692.599999999999</v>
      </c>
      <c r="H21" s="43">
        <v>4</v>
      </c>
      <c r="I21" s="1">
        <f t="shared" si="16"/>
        <v>168</v>
      </c>
      <c r="J21" s="43">
        <v>90</v>
      </c>
      <c r="K21" s="52">
        <f t="shared" si="4"/>
        <v>7020</v>
      </c>
      <c r="L21" s="43">
        <v>128</v>
      </c>
      <c r="M21" s="52">
        <f t="shared" si="5"/>
        <v>3584</v>
      </c>
      <c r="N21" s="43">
        <v>309</v>
      </c>
      <c r="O21" s="52">
        <f t="shared" si="6"/>
        <v>11742</v>
      </c>
      <c r="P21" s="43">
        <v>142</v>
      </c>
      <c r="Q21" s="52">
        <f t="shared" si="7"/>
        <v>2046.22</v>
      </c>
      <c r="R21" s="43">
        <v>38</v>
      </c>
      <c r="S21" s="52">
        <f t="shared" si="8"/>
        <v>1064</v>
      </c>
      <c r="T21" s="94">
        <f t="shared" si="9"/>
        <v>56913.14</v>
      </c>
      <c r="U21" s="92">
        <v>20948.419999999998</v>
      </c>
      <c r="V21" s="44">
        <f t="shared" si="10"/>
        <v>36.807703809700179</v>
      </c>
      <c r="W21" s="45">
        <v>26</v>
      </c>
      <c r="X21" s="1">
        <f t="shared" si="11"/>
        <v>374.66</v>
      </c>
      <c r="Y21" s="43"/>
      <c r="Z21" s="44">
        <f t="shared" si="12"/>
        <v>0</v>
      </c>
      <c r="AA21" s="110">
        <v>75</v>
      </c>
      <c r="AB21" s="78">
        <f t="shared" si="13"/>
        <v>2850</v>
      </c>
      <c r="AC21" s="74"/>
      <c r="AD21" s="105">
        <f t="shared" si="14"/>
        <v>0</v>
      </c>
    </row>
    <row r="22" spans="1:30" ht="15" customHeight="1" x14ac:dyDescent="0.25">
      <c r="A22" s="42">
        <v>17</v>
      </c>
      <c r="B22" s="43">
        <v>95</v>
      </c>
      <c r="C22" s="52">
        <f t="shared" si="2"/>
        <v>3687.9</v>
      </c>
      <c r="D22" s="43">
        <v>54</v>
      </c>
      <c r="E22" s="52">
        <f t="shared" si="3"/>
        <v>4192.5600000000004</v>
      </c>
      <c r="F22" s="43">
        <v>80</v>
      </c>
      <c r="G22" s="1">
        <f t="shared" si="15"/>
        <v>6211.2</v>
      </c>
      <c r="H22" s="43">
        <v>2</v>
      </c>
      <c r="I22" s="1">
        <f t="shared" si="16"/>
        <v>84</v>
      </c>
      <c r="J22" s="43"/>
      <c r="K22" s="52">
        <f t="shared" si="4"/>
        <v>0</v>
      </c>
      <c r="L22" s="43">
        <v>3</v>
      </c>
      <c r="M22" s="52">
        <f t="shared" si="5"/>
        <v>84</v>
      </c>
      <c r="N22" s="43">
        <v>309</v>
      </c>
      <c r="O22" s="52">
        <f t="shared" si="6"/>
        <v>11742</v>
      </c>
      <c r="P22" s="43">
        <v>142</v>
      </c>
      <c r="Q22" s="52">
        <f t="shared" si="7"/>
        <v>2046.22</v>
      </c>
      <c r="R22" s="43">
        <v>38</v>
      </c>
      <c r="S22" s="52">
        <f t="shared" si="8"/>
        <v>1064</v>
      </c>
      <c r="T22" s="94">
        <f t="shared" si="9"/>
        <v>29111.88</v>
      </c>
      <c r="U22" s="92">
        <v>20500.5</v>
      </c>
      <c r="V22" s="44">
        <f t="shared" si="10"/>
        <v>70.419704945197623</v>
      </c>
      <c r="W22" s="45">
        <v>25</v>
      </c>
      <c r="X22" s="1">
        <f t="shared" si="11"/>
        <v>360.25</v>
      </c>
      <c r="Y22" s="43"/>
      <c r="Z22" s="44">
        <f t="shared" si="12"/>
        <v>0</v>
      </c>
      <c r="AA22" s="110">
        <v>75</v>
      </c>
      <c r="AB22" s="78">
        <f t="shared" si="13"/>
        <v>2850</v>
      </c>
      <c r="AC22" s="74"/>
      <c r="AD22" s="105">
        <f t="shared" si="14"/>
        <v>0</v>
      </c>
    </row>
    <row r="23" spans="1:30" ht="15" customHeight="1" x14ac:dyDescent="0.25">
      <c r="A23" s="56">
        <v>18</v>
      </c>
      <c r="B23" s="57">
        <v>44</v>
      </c>
      <c r="C23" s="86">
        <f t="shared" si="2"/>
        <v>1708.08</v>
      </c>
      <c r="D23" s="57">
        <v>64</v>
      </c>
      <c r="E23" s="86">
        <f t="shared" si="3"/>
        <v>4968.96</v>
      </c>
      <c r="F23" s="57">
        <v>81</v>
      </c>
      <c r="G23" s="1">
        <f t="shared" si="15"/>
        <v>6288.84</v>
      </c>
      <c r="H23" s="43">
        <v>1</v>
      </c>
      <c r="I23" s="1">
        <f t="shared" si="16"/>
        <v>42</v>
      </c>
      <c r="J23" s="43"/>
      <c r="K23" s="52">
        <f t="shared" si="4"/>
        <v>0</v>
      </c>
      <c r="L23" s="43"/>
      <c r="M23" s="52">
        <f t="shared" si="5"/>
        <v>0</v>
      </c>
      <c r="N23" s="43">
        <v>292</v>
      </c>
      <c r="O23" s="52">
        <f t="shared" si="6"/>
        <v>11096</v>
      </c>
      <c r="P23" s="43"/>
      <c r="Q23" s="52">
        <f t="shared" si="7"/>
        <v>0</v>
      </c>
      <c r="R23" s="43">
        <v>1</v>
      </c>
      <c r="S23" s="52">
        <f t="shared" si="8"/>
        <v>28</v>
      </c>
      <c r="T23" s="94">
        <f t="shared" si="9"/>
        <v>24131.879999999997</v>
      </c>
      <c r="U23" s="92">
        <v>25195.86</v>
      </c>
      <c r="V23" s="44">
        <f t="shared" si="10"/>
        <v>104.40902242179226</v>
      </c>
      <c r="W23" s="45"/>
      <c r="X23" s="1">
        <f t="shared" si="11"/>
        <v>0</v>
      </c>
      <c r="Y23" s="43"/>
      <c r="Z23" s="44" t="e">
        <f t="shared" si="12"/>
        <v>#DIV/0!</v>
      </c>
      <c r="AA23" s="110">
        <v>75</v>
      </c>
      <c r="AB23" s="78">
        <f t="shared" si="13"/>
        <v>2850</v>
      </c>
      <c r="AC23" s="74"/>
      <c r="AD23" s="105">
        <f t="shared" si="14"/>
        <v>0</v>
      </c>
    </row>
    <row r="24" spans="1:30" ht="15" customHeight="1" x14ac:dyDescent="0.25">
      <c r="A24" s="56">
        <v>19</v>
      </c>
      <c r="B24" s="57">
        <v>56</v>
      </c>
      <c r="C24" s="86">
        <f t="shared" si="2"/>
        <v>2173.92</v>
      </c>
      <c r="D24" s="57">
        <v>52</v>
      </c>
      <c r="E24" s="86">
        <f t="shared" si="3"/>
        <v>4037.28</v>
      </c>
      <c r="F24" s="57">
        <v>71</v>
      </c>
      <c r="G24" s="1">
        <f t="shared" si="15"/>
        <v>5512.44</v>
      </c>
      <c r="H24" s="43">
        <v>7</v>
      </c>
      <c r="I24" s="1">
        <f t="shared" si="16"/>
        <v>294</v>
      </c>
      <c r="J24" s="43"/>
      <c r="K24" s="52">
        <f t="shared" si="4"/>
        <v>0</v>
      </c>
      <c r="L24" s="43">
        <v>90</v>
      </c>
      <c r="M24" s="52">
        <f t="shared" si="5"/>
        <v>2520</v>
      </c>
      <c r="N24" s="43">
        <v>292</v>
      </c>
      <c r="O24" s="52">
        <f t="shared" si="6"/>
        <v>11096</v>
      </c>
      <c r="P24" s="43"/>
      <c r="Q24" s="52">
        <f t="shared" si="7"/>
        <v>0</v>
      </c>
      <c r="R24" s="43">
        <v>1</v>
      </c>
      <c r="S24" s="52">
        <f t="shared" si="8"/>
        <v>28</v>
      </c>
      <c r="T24" s="94">
        <f t="shared" si="9"/>
        <v>25661.64</v>
      </c>
      <c r="U24" s="92">
        <v>25269.01</v>
      </c>
      <c r="V24" s="44">
        <f t="shared" si="10"/>
        <v>98.469973080442244</v>
      </c>
      <c r="W24" s="45">
        <v>8</v>
      </c>
      <c r="X24" s="1">
        <f t="shared" si="11"/>
        <v>115.28</v>
      </c>
      <c r="Y24" s="43">
        <v>434.96</v>
      </c>
      <c r="Z24" s="44">
        <f t="shared" si="12"/>
        <v>377.30742539902843</v>
      </c>
      <c r="AA24" s="110">
        <v>75</v>
      </c>
      <c r="AB24" s="78">
        <f t="shared" si="13"/>
        <v>2850</v>
      </c>
      <c r="AC24" s="74"/>
      <c r="AD24" s="105">
        <f t="shared" si="14"/>
        <v>0</v>
      </c>
    </row>
    <row r="25" spans="1:30" ht="15" customHeight="1" x14ac:dyDescent="0.25">
      <c r="A25" s="42">
        <v>20</v>
      </c>
      <c r="B25" s="43">
        <v>52</v>
      </c>
      <c r="C25" s="51">
        <f t="shared" si="2"/>
        <v>2018.64</v>
      </c>
      <c r="D25" s="43">
        <v>139</v>
      </c>
      <c r="E25" s="51">
        <f t="shared" si="3"/>
        <v>10791.960000000001</v>
      </c>
      <c r="F25" s="43">
        <v>217</v>
      </c>
      <c r="G25" s="1">
        <f t="shared" si="15"/>
        <v>16847.88</v>
      </c>
      <c r="H25" s="43">
        <v>8</v>
      </c>
      <c r="I25" s="1">
        <f t="shared" si="16"/>
        <v>336</v>
      </c>
      <c r="J25" s="43"/>
      <c r="K25" s="52">
        <f t="shared" si="4"/>
        <v>0</v>
      </c>
      <c r="L25" s="43">
        <v>407</v>
      </c>
      <c r="M25" s="52">
        <f t="shared" si="5"/>
        <v>11396</v>
      </c>
      <c r="N25" s="43">
        <v>297</v>
      </c>
      <c r="O25" s="52">
        <f t="shared" si="6"/>
        <v>11286</v>
      </c>
      <c r="P25" s="43">
        <v>142</v>
      </c>
      <c r="Q25" s="52">
        <f t="shared" si="7"/>
        <v>2046.22</v>
      </c>
      <c r="R25" s="43">
        <v>43</v>
      </c>
      <c r="S25" s="52">
        <f t="shared" si="8"/>
        <v>1204</v>
      </c>
      <c r="T25" s="94">
        <f t="shared" si="9"/>
        <v>55926.700000000004</v>
      </c>
      <c r="U25" s="92">
        <v>29538.18</v>
      </c>
      <c r="V25" s="44">
        <f t="shared" si="10"/>
        <v>52.815882217259372</v>
      </c>
      <c r="W25" s="45">
        <v>51</v>
      </c>
      <c r="X25" s="1">
        <f t="shared" si="11"/>
        <v>734.91</v>
      </c>
      <c r="Y25" s="43"/>
      <c r="Z25" s="44">
        <f t="shared" si="12"/>
        <v>0</v>
      </c>
      <c r="AA25" s="110">
        <v>75</v>
      </c>
      <c r="AB25" s="78">
        <f t="shared" si="13"/>
        <v>2850</v>
      </c>
      <c r="AC25" s="74">
        <v>8408.9</v>
      </c>
      <c r="AD25" s="105">
        <f t="shared" si="14"/>
        <v>295.04912280701751</v>
      </c>
    </row>
    <row r="26" spans="1:30" ht="15" customHeight="1" x14ac:dyDescent="0.25">
      <c r="A26" s="42">
        <v>21</v>
      </c>
      <c r="B26" s="43">
        <v>125</v>
      </c>
      <c r="C26" s="51">
        <f t="shared" si="2"/>
        <v>4852.5</v>
      </c>
      <c r="D26" s="43">
        <v>170</v>
      </c>
      <c r="E26" s="51">
        <f t="shared" si="3"/>
        <v>13198.8</v>
      </c>
      <c r="F26" s="43">
        <v>223</v>
      </c>
      <c r="G26" s="1">
        <f t="shared" si="15"/>
        <v>17313.72</v>
      </c>
      <c r="H26" s="43">
        <v>6</v>
      </c>
      <c r="I26" s="1">
        <f t="shared" si="16"/>
        <v>252</v>
      </c>
      <c r="J26" s="43"/>
      <c r="K26" s="52">
        <f t="shared" si="4"/>
        <v>0</v>
      </c>
      <c r="L26" s="43">
        <v>66</v>
      </c>
      <c r="M26" s="52">
        <f t="shared" si="5"/>
        <v>1848</v>
      </c>
      <c r="N26" s="43">
        <v>297</v>
      </c>
      <c r="O26" s="52">
        <f t="shared" si="6"/>
        <v>11286</v>
      </c>
      <c r="P26" s="43">
        <v>142</v>
      </c>
      <c r="Q26" s="52">
        <f t="shared" si="7"/>
        <v>2046.22</v>
      </c>
      <c r="R26" s="43">
        <v>43</v>
      </c>
      <c r="S26" s="52">
        <f t="shared" si="8"/>
        <v>1204</v>
      </c>
      <c r="T26" s="94">
        <f t="shared" si="9"/>
        <v>52001.240000000005</v>
      </c>
      <c r="U26" s="92">
        <v>27826.95</v>
      </c>
      <c r="V26" s="44">
        <f t="shared" si="10"/>
        <v>53.512089327100654</v>
      </c>
      <c r="W26" s="45">
        <v>30</v>
      </c>
      <c r="X26" s="1">
        <f t="shared" si="11"/>
        <v>432.3</v>
      </c>
      <c r="Y26" s="43">
        <v>234.56</v>
      </c>
      <c r="Z26" s="44">
        <f t="shared" si="12"/>
        <v>54.258616701364794</v>
      </c>
      <c r="AA26" s="110">
        <v>75</v>
      </c>
      <c r="AB26" s="78">
        <f t="shared" si="13"/>
        <v>2850</v>
      </c>
      <c r="AC26" s="74"/>
      <c r="AD26" s="105">
        <f t="shared" si="14"/>
        <v>0</v>
      </c>
    </row>
    <row r="27" spans="1:30" ht="15" customHeight="1" x14ac:dyDescent="0.25">
      <c r="A27" s="42">
        <v>22</v>
      </c>
      <c r="B27" s="43">
        <v>114</v>
      </c>
      <c r="C27" s="52">
        <f t="shared" si="2"/>
        <v>4425.4800000000005</v>
      </c>
      <c r="D27" s="43">
        <v>157</v>
      </c>
      <c r="E27" s="52">
        <f t="shared" si="3"/>
        <v>12189.48</v>
      </c>
      <c r="F27" s="43">
        <v>212</v>
      </c>
      <c r="G27" s="1">
        <f t="shared" si="15"/>
        <v>16459.68</v>
      </c>
      <c r="H27" s="43">
        <v>10</v>
      </c>
      <c r="I27" s="1">
        <f t="shared" si="16"/>
        <v>420</v>
      </c>
      <c r="J27" s="43"/>
      <c r="K27" s="52">
        <f t="shared" si="4"/>
        <v>0</v>
      </c>
      <c r="L27" s="43">
        <v>77</v>
      </c>
      <c r="M27" s="52">
        <f t="shared" si="5"/>
        <v>2156</v>
      </c>
      <c r="N27" s="43">
        <v>297</v>
      </c>
      <c r="O27" s="52">
        <f t="shared" si="6"/>
        <v>11286</v>
      </c>
      <c r="P27" s="43">
        <v>142</v>
      </c>
      <c r="Q27" s="52">
        <f t="shared" si="7"/>
        <v>2046.22</v>
      </c>
      <c r="R27" s="43">
        <v>40</v>
      </c>
      <c r="S27" s="52">
        <f t="shared" si="8"/>
        <v>1120</v>
      </c>
      <c r="T27" s="94">
        <f t="shared" si="9"/>
        <v>50102.86</v>
      </c>
      <c r="U27" s="92">
        <v>21560.22</v>
      </c>
      <c r="V27" s="44">
        <f t="shared" si="10"/>
        <v>43.031914744986615</v>
      </c>
      <c r="W27" s="45">
        <v>30</v>
      </c>
      <c r="X27" s="1">
        <f t="shared" si="11"/>
        <v>432.3</v>
      </c>
      <c r="Y27" s="43"/>
      <c r="Z27" s="44">
        <f t="shared" si="12"/>
        <v>0</v>
      </c>
      <c r="AA27" s="110">
        <v>75</v>
      </c>
      <c r="AB27" s="78">
        <f t="shared" si="13"/>
        <v>2850</v>
      </c>
      <c r="AC27" s="74"/>
      <c r="AD27" s="105">
        <f t="shared" si="14"/>
        <v>0</v>
      </c>
    </row>
    <row r="28" spans="1:30" ht="15" customHeight="1" x14ac:dyDescent="0.25">
      <c r="A28" s="42">
        <v>23</v>
      </c>
      <c r="B28" s="43">
        <v>117</v>
      </c>
      <c r="C28" s="52">
        <f t="shared" si="2"/>
        <v>4541.9399999999996</v>
      </c>
      <c r="D28" s="43">
        <v>155</v>
      </c>
      <c r="E28" s="52">
        <f t="shared" si="3"/>
        <v>12034.2</v>
      </c>
      <c r="F28" s="43">
        <v>223</v>
      </c>
      <c r="G28" s="1">
        <f t="shared" si="15"/>
        <v>17313.72</v>
      </c>
      <c r="H28" s="43">
        <v>12</v>
      </c>
      <c r="I28" s="1">
        <f t="shared" si="16"/>
        <v>504</v>
      </c>
      <c r="J28" s="43"/>
      <c r="K28" s="52">
        <f t="shared" si="4"/>
        <v>0</v>
      </c>
      <c r="L28" s="43">
        <v>66</v>
      </c>
      <c r="M28" s="52">
        <f t="shared" si="5"/>
        <v>1848</v>
      </c>
      <c r="N28" s="43">
        <v>297</v>
      </c>
      <c r="O28" s="52">
        <f t="shared" si="6"/>
        <v>11286</v>
      </c>
      <c r="P28" s="43">
        <v>142</v>
      </c>
      <c r="Q28" s="52">
        <f t="shared" si="7"/>
        <v>2046.22</v>
      </c>
      <c r="R28" s="43">
        <v>40</v>
      </c>
      <c r="S28" s="52">
        <f t="shared" si="8"/>
        <v>1120</v>
      </c>
      <c r="T28" s="94">
        <f t="shared" si="9"/>
        <v>50694.080000000002</v>
      </c>
      <c r="U28" s="92">
        <v>23492.720000000001</v>
      </c>
      <c r="V28" s="44">
        <f t="shared" si="10"/>
        <v>46.34213699114374</v>
      </c>
      <c r="W28" s="45">
        <v>26</v>
      </c>
      <c r="X28" s="1">
        <f t="shared" si="11"/>
        <v>374.66</v>
      </c>
      <c r="Y28" s="43"/>
      <c r="Z28" s="44">
        <f t="shared" si="12"/>
        <v>0</v>
      </c>
      <c r="AA28" s="110">
        <v>75</v>
      </c>
      <c r="AB28" s="78">
        <f t="shared" si="13"/>
        <v>2850</v>
      </c>
      <c r="AC28" s="74"/>
      <c r="AD28" s="105">
        <f t="shared" si="14"/>
        <v>0</v>
      </c>
    </row>
    <row r="29" spans="1:30" ht="15.6" customHeight="1" x14ac:dyDescent="0.25">
      <c r="A29" s="42">
        <v>24</v>
      </c>
      <c r="B29" s="43">
        <v>108</v>
      </c>
      <c r="C29" s="52">
        <f t="shared" si="2"/>
        <v>4192.5600000000004</v>
      </c>
      <c r="D29" s="43">
        <v>74</v>
      </c>
      <c r="E29" s="52">
        <f t="shared" si="3"/>
        <v>5745.36</v>
      </c>
      <c r="F29" s="43">
        <v>94</v>
      </c>
      <c r="G29" s="1">
        <f t="shared" si="15"/>
        <v>7298.16</v>
      </c>
      <c r="H29" s="43">
        <v>6</v>
      </c>
      <c r="I29" s="1">
        <f t="shared" si="16"/>
        <v>252</v>
      </c>
      <c r="J29" s="43"/>
      <c r="K29" s="52">
        <f t="shared" si="4"/>
        <v>0</v>
      </c>
      <c r="L29" s="43">
        <v>6</v>
      </c>
      <c r="M29" s="52">
        <f t="shared" si="5"/>
        <v>168</v>
      </c>
      <c r="N29" s="43">
        <v>297</v>
      </c>
      <c r="O29" s="52">
        <f t="shared" si="6"/>
        <v>11286</v>
      </c>
      <c r="P29" s="43">
        <v>142</v>
      </c>
      <c r="Q29" s="52">
        <f t="shared" si="7"/>
        <v>2046.22</v>
      </c>
      <c r="R29" s="43">
        <v>40</v>
      </c>
      <c r="S29" s="52">
        <f t="shared" si="8"/>
        <v>1120</v>
      </c>
      <c r="T29" s="94">
        <f t="shared" si="9"/>
        <v>32108.300000000003</v>
      </c>
      <c r="U29" s="92">
        <v>20732.8</v>
      </c>
      <c r="V29" s="44">
        <f t="shared" si="10"/>
        <v>64.571465944942574</v>
      </c>
      <c r="W29" s="45"/>
      <c r="X29" s="1">
        <f t="shared" si="11"/>
        <v>0</v>
      </c>
      <c r="Y29" s="43"/>
      <c r="Z29" s="44" t="e">
        <f t="shared" si="12"/>
        <v>#DIV/0!</v>
      </c>
      <c r="AA29" s="110">
        <v>75</v>
      </c>
      <c r="AB29" s="78">
        <f t="shared" si="13"/>
        <v>2850</v>
      </c>
      <c r="AC29" s="74"/>
      <c r="AD29" s="105">
        <f t="shared" si="14"/>
        <v>0</v>
      </c>
    </row>
    <row r="30" spans="1:30" ht="15" customHeight="1" x14ac:dyDescent="0.25">
      <c r="A30" s="56">
        <v>25</v>
      </c>
      <c r="B30" s="57">
        <v>59</v>
      </c>
      <c r="C30" s="86">
        <f t="shared" si="2"/>
        <v>2290.38</v>
      </c>
      <c r="D30" s="57">
        <v>59</v>
      </c>
      <c r="E30" s="86">
        <f t="shared" si="3"/>
        <v>4580.76</v>
      </c>
      <c r="F30" s="57">
        <v>92</v>
      </c>
      <c r="G30" s="1">
        <f t="shared" si="15"/>
        <v>7142.88</v>
      </c>
      <c r="H30" s="43">
        <v>4</v>
      </c>
      <c r="I30" s="1">
        <f t="shared" si="16"/>
        <v>168</v>
      </c>
      <c r="J30" s="43"/>
      <c r="K30" s="52">
        <f t="shared" si="4"/>
        <v>0</v>
      </c>
      <c r="L30" s="43"/>
      <c r="M30" s="52">
        <f t="shared" si="5"/>
        <v>0</v>
      </c>
      <c r="N30" s="43">
        <v>297</v>
      </c>
      <c r="O30" s="52">
        <f t="shared" si="6"/>
        <v>11286</v>
      </c>
      <c r="P30" s="43"/>
      <c r="Q30" s="52">
        <f t="shared" si="7"/>
        <v>0</v>
      </c>
      <c r="R30" s="43">
        <v>2</v>
      </c>
      <c r="S30" s="52">
        <f t="shared" si="8"/>
        <v>56</v>
      </c>
      <c r="T30" s="94">
        <f t="shared" si="9"/>
        <v>25524.02</v>
      </c>
      <c r="U30" s="92">
        <v>21641.91</v>
      </c>
      <c r="V30" s="44">
        <f t="shared" si="10"/>
        <v>84.790366094369148</v>
      </c>
      <c r="W30" s="45"/>
      <c r="X30" s="1">
        <f t="shared" si="11"/>
        <v>0</v>
      </c>
      <c r="Y30" s="43"/>
      <c r="Z30" s="44" t="e">
        <f t="shared" si="12"/>
        <v>#DIV/0!</v>
      </c>
      <c r="AA30" s="110">
        <v>75</v>
      </c>
      <c r="AB30" s="78">
        <f t="shared" si="13"/>
        <v>2850</v>
      </c>
      <c r="AC30" s="74"/>
      <c r="AD30" s="105">
        <f t="shared" si="14"/>
        <v>0</v>
      </c>
    </row>
    <row r="31" spans="1:30" ht="15" customHeight="1" x14ac:dyDescent="0.25">
      <c r="A31" s="56">
        <v>26</v>
      </c>
      <c r="B31" s="57">
        <v>66</v>
      </c>
      <c r="C31" s="86">
        <f t="shared" si="2"/>
        <v>2562.12</v>
      </c>
      <c r="D31" s="57">
        <v>51</v>
      </c>
      <c r="E31" s="86">
        <f t="shared" si="3"/>
        <v>3959.64</v>
      </c>
      <c r="F31" s="57">
        <v>78</v>
      </c>
      <c r="G31" s="1">
        <f t="shared" si="15"/>
        <v>6055.92</v>
      </c>
      <c r="H31" s="43">
        <v>3</v>
      </c>
      <c r="I31" s="1">
        <f t="shared" si="16"/>
        <v>126</v>
      </c>
      <c r="J31" s="43"/>
      <c r="K31" s="52">
        <f t="shared" si="4"/>
        <v>0</v>
      </c>
      <c r="L31" s="43"/>
      <c r="M31" s="52">
        <f t="shared" si="5"/>
        <v>0</v>
      </c>
      <c r="N31" s="43">
        <v>297</v>
      </c>
      <c r="O31" s="52">
        <f t="shared" si="6"/>
        <v>11286</v>
      </c>
      <c r="P31" s="43"/>
      <c r="Q31" s="52">
        <f t="shared" si="7"/>
        <v>0</v>
      </c>
      <c r="R31" s="43">
        <v>2</v>
      </c>
      <c r="S31" s="52">
        <f t="shared" si="8"/>
        <v>56</v>
      </c>
      <c r="T31" s="94">
        <f t="shared" si="9"/>
        <v>24045.68</v>
      </c>
      <c r="U31" s="92">
        <v>26541.62</v>
      </c>
      <c r="V31" s="44">
        <f t="shared" si="10"/>
        <v>110.37999341253813</v>
      </c>
      <c r="W31" s="45"/>
      <c r="X31" s="1">
        <f t="shared" si="11"/>
        <v>0</v>
      </c>
      <c r="Y31" s="43"/>
      <c r="Z31" s="44" t="e">
        <f t="shared" si="12"/>
        <v>#DIV/0!</v>
      </c>
      <c r="AA31" s="110">
        <v>75</v>
      </c>
      <c r="AB31" s="78">
        <f t="shared" si="13"/>
        <v>2850</v>
      </c>
      <c r="AC31" s="104">
        <v>9588.0499999999993</v>
      </c>
      <c r="AD31" s="105">
        <f t="shared" si="14"/>
        <v>336.42280701754379</v>
      </c>
    </row>
    <row r="32" spans="1:30" ht="15" customHeight="1" x14ac:dyDescent="0.25">
      <c r="A32" s="42">
        <v>27</v>
      </c>
      <c r="B32" s="43">
        <v>64</v>
      </c>
      <c r="C32" s="51">
        <f t="shared" si="2"/>
        <v>2484.48</v>
      </c>
      <c r="D32" s="43">
        <v>167</v>
      </c>
      <c r="E32" s="51">
        <f t="shared" si="3"/>
        <v>12965.88</v>
      </c>
      <c r="F32" s="43">
        <v>238</v>
      </c>
      <c r="G32" s="1">
        <f t="shared" si="15"/>
        <v>18478.32</v>
      </c>
      <c r="H32" s="43">
        <v>14</v>
      </c>
      <c r="I32" s="1">
        <f t="shared" si="16"/>
        <v>588</v>
      </c>
      <c r="J32" s="43"/>
      <c r="K32" s="52">
        <f t="shared" si="4"/>
        <v>0</v>
      </c>
      <c r="L32" s="43">
        <v>553</v>
      </c>
      <c r="M32" s="52">
        <f t="shared" si="5"/>
        <v>15484</v>
      </c>
      <c r="N32" s="43">
        <v>297</v>
      </c>
      <c r="O32" s="52">
        <f t="shared" si="6"/>
        <v>11286</v>
      </c>
      <c r="P32" s="43">
        <v>142</v>
      </c>
      <c r="Q32" s="52">
        <f t="shared" si="7"/>
        <v>2046.22</v>
      </c>
      <c r="R32" s="43">
        <v>43</v>
      </c>
      <c r="S32" s="52">
        <f t="shared" si="8"/>
        <v>1204</v>
      </c>
      <c r="T32" s="94">
        <f t="shared" si="9"/>
        <v>64536.9</v>
      </c>
      <c r="U32" s="92">
        <v>32116.91</v>
      </c>
      <c r="V32" s="44">
        <f t="shared" si="10"/>
        <v>49.765188597531022</v>
      </c>
      <c r="W32" s="45">
        <v>30</v>
      </c>
      <c r="X32" s="1">
        <f t="shared" si="11"/>
        <v>432.3</v>
      </c>
      <c r="Y32" s="43"/>
      <c r="Z32" s="44">
        <f t="shared" si="12"/>
        <v>0</v>
      </c>
      <c r="AA32" s="110">
        <v>75</v>
      </c>
      <c r="AB32" s="78">
        <f t="shared" si="13"/>
        <v>2850</v>
      </c>
      <c r="AC32" s="74"/>
      <c r="AD32" s="105">
        <f t="shared" si="14"/>
        <v>0</v>
      </c>
    </row>
    <row r="33" spans="1:30" ht="15" customHeight="1" x14ac:dyDescent="0.25">
      <c r="A33" s="42">
        <v>28</v>
      </c>
      <c r="B33" s="43">
        <v>119</v>
      </c>
      <c r="C33" s="51">
        <f t="shared" si="2"/>
        <v>4619.58</v>
      </c>
      <c r="D33" s="43">
        <v>143</v>
      </c>
      <c r="E33" s="51">
        <f t="shared" si="3"/>
        <v>11102.52</v>
      </c>
      <c r="F33" s="43">
        <v>215</v>
      </c>
      <c r="G33" s="1">
        <f t="shared" si="15"/>
        <v>16692.599999999999</v>
      </c>
      <c r="H33" s="43">
        <v>10</v>
      </c>
      <c r="I33" s="1">
        <f t="shared" si="16"/>
        <v>420</v>
      </c>
      <c r="J33" s="43">
        <v>105</v>
      </c>
      <c r="K33" s="52">
        <f t="shared" si="4"/>
        <v>8190</v>
      </c>
      <c r="L33" s="43">
        <v>110</v>
      </c>
      <c r="M33" s="52">
        <f t="shared" si="5"/>
        <v>3080</v>
      </c>
      <c r="N33" s="43">
        <v>297</v>
      </c>
      <c r="O33" s="52">
        <f t="shared" si="6"/>
        <v>11286</v>
      </c>
      <c r="P33" s="43">
        <v>142</v>
      </c>
      <c r="Q33" s="52">
        <f t="shared" si="7"/>
        <v>2046.22</v>
      </c>
      <c r="R33" s="43">
        <v>43</v>
      </c>
      <c r="S33" s="52">
        <f t="shared" si="8"/>
        <v>1204</v>
      </c>
      <c r="T33" s="94">
        <f t="shared" si="9"/>
        <v>58640.92</v>
      </c>
      <c r="U33" s="92">
        <v>29004.99</v>
      </c>
      <c r="V33" s="44">
        <f>+U33/T33*100</f>
        <v>49.462030950401193</v>
      </c>
      <c r="W33" s="45">
        <v>61</v>
      </c>
      <c r="X33" s="1">
        <f t="shared" si="11"/>
        <v>879.01</v>
      </c>
      <c r="Y33" s="43">
        <v>57.14</v>
      </c>
      <c r="Z33" s="44">
        <f t="shared" si="12"/>
        <v>6.5004948749160993</v>
      </c>
      <c r="AA33" s="110">
        <v>75</v>
      </c>
      <c r="AB33" s="78">
        <f t="shared" si="13"/>
        <v>2850</v>
      </c>
      <c r="AC33" s="74"/>
      <c r="AD33" s="105">
        <f t="shared" si="14"/>
        <v>0</v>
      </c>
    </row>
    <row r="34" spans="1:30" ht="15" customHeight="1" x14ac:dyDescent="0.25">
      <c r="A34" s="42">
        <v>29</v>
      </c>
      <c r="B34" s="43">
        <v>114</v>
      </c>
      <c r="C34" s="52">
        <f t="shared" si="2"/>
        <v>4425.4800000000005</v>
      </c>
      <c r="D34" s="43">
        <v>158</v>
      </c>
      <c r="E34" s="52">
        <f t="shared" si="3"/>
        <v>12267.12</v>
      </c>
      <c r="F34" s="43">
        <v>220</v>
      </c>
      <c r="G34" s="1">
        <f t="shared" si="15"/>
        <v>17080.8</v>
      </c>
      <c r="H34" s="43">
        <v>10</v>
      </c>
      <c r="I34" s="1">
        <f t="shared" si="16"/>
        <v>420</v>
      </c>
      <c r="J34" s="43">
        <v>27</v>
      </c>
      <c r="K34" s="52">
        <f t="shared" si="4"/>
        <v>2106</v>
      </c>
      <c r="L34" s="43">
        <v>141</v>
      </c>
      <c r="M34" s="52">
        <f t="shared" si="5"/>
        <v>3948</v>
      </c>
      <c r="N34" s="43">
        <v>297</v>
      </c>
      <c r="O34" s="52">
        <f t="shared" si="6"/>
        <v>11286</v>
      </c>
      <c r="P34" s="43">
        <v>142</v>
      </c>
      <c r="Q34" s="52">
        <f t="shared" si="7"/>
        <v>2046.22</v>
      </c>
      <c r="R34" s="43">
        <v>40</v>
      </c>
      <c r="S34" s="52">
        <f t="shared" si="8"/>
        <v>1120</v>
      </c>
      <c r="T34" s="94">
        <f t="shared" si="9"/>
        <v>54699.62</v>
      </c>
      <c r="U34" s="92">
        <v>29920.37</v>
      </c>
      <c r="V34" s="44">
        <f t="shared" si="10"/>
        <v>54.699411074519347</v>
      </c>
      <c r="W34" s="45">
        <v>59</v>
      </c>
      <c r="X34" s="1">
        <f t="shared" si="11"/>
        <v>850.19</v>
      </c>
      <c r="Y34" s="43"/>
      <c r="Z34" s="44">
        <f t="shared" si="12"/>
        <v>0</v>
      </c>
      <c r="AA34" s="110">
        <v>75</v>
      </c>
      <c r="AB34" s="78">
        <f t="shared" si="13"/>
        <v>2850</v>
      </c>
      <c r="AC34" s="74"/>
      <c r="AD34" s="105">
        <f t="shared" si="14"/>
        <v>0</v>
      </c>
    </row>
    <row r="35" spans="1:30" ht="15" customHeight="1" x14ac:dyDescent="0.25">
      <c r="A35" s="42">
        <v>30</v>
      </c>
      <c r="B35" s="43">
        <v>99</v>
      </c>
      <c r="C35" s="52">
        <f t="shared" si="2"/>
        <v>3843.18</v>
      </c>
      <c r="D35" s="43">
        <v>144</v>
      </c>
      <c r="E35" s="52">
        <f t="shared" si="3"/>
        <v>11180.16</v>
      </c>
      <c r="F35" s="43">
        <v>202</v>
      </c>
      <c r="G35" s="1">
        <f t="shared" si="15"/>
        <v>15683.28</v>
      </c>
      <c r="H35" s="43">
        <v>6</v>
      </c>
      <c r="I35" s="1">
        <f t="shared" si="16"/>
        <v>252</v>
      </c>
      <c r="J35" s="43"/>
      <c r="K35" s="52">
        <f t="shared" si="4"/>
        <v>0</v>
      </c>
      <c r="L35" s="43">
        <v>127</v>
      </c>
      <c r="M35" s="52">
        <f t="shared" si="5"/>
        <v>3556</v>
      </c>
      <c r="N35" s="43">
        <v>297</v>
      </c>
      <c r="O35" s="52">
        <f t="shared" si="6"/>
        <v>11286</v>
      </c>
      <c r="P35" s="43">
        <v>142</v>
      </c>
      <c r="Q35" s="52">
        <f t="shared" si="7"/>
        <v>2046.22</v>
      </c>
      <c r="R35" s="43">
        <v>50</v>
      </c>
      <c r="S35" s="52">
        <f t="shared" si="8"/>
        <v>1400</v>
      </c>
      <c r="T35" s="94">
        <f t="shared" si="9"/>
        <v>49246.84</v>
      </c>
      <c r="U35" s="92">
        <v>31224.99</v>
      </c>
      <c r="V35" s="44">
        <f t="shared" si="10"/>
        <v>63.405063147198895</v>
      </c>
      <c r="W35" s="45">
        <v>59</v>
      </c>
      <c r="X35" s="1">
        <f t="shared" si="11"/>
        <v>850.19</v>
      </c>
      <c r="Y35" s="43"/>
      <c r="Z35" s="44">
        <f t="shared" si="12"/>
        <v>0</v>
      </c>
      <c r="AA35" s="110">
        <v>75</v>
      </c>
      <c r="AB35" s="78">
        <f t="shared" si="13"/>
        <v>2850</v>
      </c>
      <c r="AC35" s="74"/>
      <c r="AD35" s="105">
        <f t="shared" si="14"/>
        <v>0</v>
      </c>
    </row>
    <row r="36" spans="1:30" ht="15" customHeight="1" x14ac:dyDescent="0.25">
      <c r="A36" s="42">
        <v>31</v>
      </c>
      <c r="B36" s="43">
        <v>97</v>
      </c>
      <c r="C36" s="52">
        <f t="shared" si="2"/>
        <v>3765.54</v>
      </c>
      <c r="D36" s="43">
        <v>83</v>
      </c>
      <c r="E36" s="52">
        <f>+D36*77.64</f>
        <v>6444.12</v>
      </c>
      <c r="F36" s="43">
        <v>73</v>
      </c>
      <c r="G36" s="1">
        <f t="shared" si="15"/>
        <v>5667.72</v>
      </c>
      <c r="H36" s="43">
        <v>4</v>
      </c>
      <c r="I36" s="1">
        <f t="shared" si="16"/>
        <v>168</v>
      </c>
      <c r="J36" s="43"/>
      <c r="K36" s="52">
        <f t="shared" si="4"/>
        <v>0</v>
      </c>
      <c r="L36" s="43">
        <v>23</v>
      </c>
      <c r="M36" s="52">
        <f t="shared" si="5"/>
        <v>644</v>
      </c>
      <c r="N36" s="43">
        <v>297</v>
      </c>
      <c r="O36" s="52">
        <f t="shared" si="6"/>
        <v>11286</v>
      </c>
      <c r="P36" s="43">
        <v>142</v>
      </c>
      <c r="Q36" s="52">
        <f t="shared" si="7"/>
        <v>2046.22</v>
      </c>
      <c r="R36" s="43">
        <v>47</v>
      </c>
      <c r="S36" s="52">
        <f t="shared" si="8"/>
        <v>1316</v>
      </c>
      <c r="T36" s="94">
        <f t="shared" si="9"/>
        <v>31337.600000000002</v>
      </c>
      <c r="U36" s="92">
        <v>36103.230000000003</v>
      </c>
      <c r="V36" s="44">
        <f t="shared" si="10"/>
        <v>115.20738665373227</v>
      </c>
      <c r="W36" s="45"/>
      <c r="X36" s="1">
        <f t="shared" si="11"/>
        <v>0</v>
      </c>
      <c r="Y36" s="43"/>
      <c r="Z36" s="44" t="e">
        <f t="shared" si="12"/>
        <v>#DIV/0!</v>
      </c>
      <c r="AA36" s="110">
        <v>75</v>
      </c>
      <c r="AB36" s="78">
        <f t="shared" si="13"/>
        <v>2850</v>
      </c>
      <c r="AC36" s="74"/>
      <c r="AD36" s="105">
        <f t="shared" si="14"/>
        <v>0</v>
      </c>
    </row>
    <row r="37" spans="1:30" ht="36.75" customHeight="1" thickBot="1" x14ac:dyDescent="0.3">
      <c r="A37" s="58" t="s">
        <v>7</v>
      </c>
      <c r="B37" s="59">
        <f t="shared" ref="B37:U37" si="17">SUM(B6:B36)</f>
        <v>2731</v>
      </c>
      <c r="C37" s="60">
        <f t="shared" si="17"/>
        <v>106017.41999999997</v>
      </c>
      <c r="D37" s="59">
        <f t="shared" si="17"/>
        <v>3570</v>
      </c>
      <c r="E37" s="60">
        <f t="shared" si="17"/>
        <v>277174.8</v>
      </c>
      <c r="F37" s="59">
        <f t="shared" si="17"/>
        <v>4927</v>
      </c>
      <c r="G37" s="60">
        <f t="shared" si="17"/>
        <v>382532.27999999991</v>
      </c>
      <c r="H37" s="59">
        <f t="shared" si="17"/>
        <v>179</v>
      </c>
      <c r="I37" s="60">
        <f t="shared" si="17"/>
        <v>7518</v>
      </c>
      <c r="J37" s="59">
        <f t="shared" si="17"/>
        <v>521</v>
      </c>
      <c r="K37" s="60">
        <f t="shared" si="17"/>
        <v>40638</v>
      </c>
      <c r="L37" s="59">
        <f t="shared" si="17"/>
        <v>2999</v>
      </c>
      <c r="M37" s="60">
        <f t="shared" si="17"/>
        <v>83972</v>
      </c>
      <c r="N37" s="59">
        <f t="shared" si="17"/>
        <v>9170</v>
      </c>
      <c r="O37" s="60">
        <f t="shared" si="17"/>
        <v>348460</v>
      </c>
      <c r="P37" s="59">
        <f t="shared" si="17"/>
        <v>3298</v>
      </c>
      <c r="Q37" s="60">
        <f t="shared" si="17"/>
        <v>47524.180000000015</v>
      </c>
      <c r="R37" s="59">
        <f t="shared" si="17"/>
        <v>915</v>
      </c>
      <c r="S37" s="60">
        <f t="shared" si="17"/>
        <v>25620</v>
      </c>
      <c r="T37" s="95">
        <f t="shared" si="17"/>
        <v>1319456.6800000002</v>
      </c>
      <c r="U37" s="93">
        <f t="shared" si="17"/>
        <v>707320.72999999986</v>
      </c>
      <c r="V37" s="61">
        <f>+U37/T37*100</f>
        <v>53.60696874110333</v>
      </c>
      <c r="W37" s="59">
        <f>SUM(W6:W36)</f>
        <v>644</v>
      </c>
      <c r="X37" s="60">
        <f>SUM(X6:X36)</f>
        <v>9280.0400000000009</v>
      </c>
      <c r="Y37" s="59">
        <f>SUM(Y6:Y36)</f>
        <v>1375.2</v>
      </c>
      <c r="Z37" s="62">
        <f>+Y37/X37*100</f>
        <v>14.818901642665333</v>
      </c>
      <c r="AA37" s="110">
        <f>+SUM(AA6:AA36)</f>
        <v>2325</v>
      </c>
      <c r="AB37" s="78">
        <f>SUM(AB6:AB36)</f>
        <v>88350</v>
      </c>
      <c r="AC37" s="74">
        <f>+SUM(AC6:AC36)</f>
        <v>37183.72</v>
      </c>
      <c r="AD37" s="105">
        <f t="shared" si="14"/>
        <v>42.086836445953594</v>
      </c>
    </row>
    <row r="38" spans="1:30" ht="15.75" thickTop="1" x14ac:dyDescent="0.25"/>
    <row r="41" spans="1:30" ht="15.75" thickBot="1" x14ac:dyDescent="0.3"/>
    <row r="42" spans="1:30" ht="15.75" thickBot="1" x14ac:dyDescent="0.3">
      <c r="F42" s="106" t="s">
        <v>45</v>
      </c>
      <c r="G42" s="107"/>
      <c r="H42" s="107"/>
      <c r="I42" s="108"/>
      <c r="J42" s="106"/>
      <c r="K42" s="108">
        <f>M37+K37+I37+G37+E37+C37</f>
        <v>897852.49999999977</v>
      </c>
    </row>
    <row r="43" spans="1:30" ht="15.75" thickBot="1" x14ac:dyDescent="0.3">
      <c r="F43" s="106" t="s">
        <v>46</v>
      </c>
      <c r="G43" s="107"/>
      <c r="H43" s="107"/>
      <c r="I43" s="108"/>
      <c r="J43" s="106">
        <f>X37</f>
        <v>9280.0400000000009</v>
      </c>
      <c r="K43" s="108"/>
      <c r="P43" s="106" t="s">
        <v>44</v>
      </c>
      <c r="Q43" s="107"/>
      <c r="R43" s="108"/>
      <c r="S43" s="109">
        <f>S37+Q37+O37</f>
        <v>421604.18000000005</v>
      </c>
    </row>
    <row r="44" spans="1:30" ht="15.75" thickBot="1" x14ac:dyDescent="0.3">
      <c r="F44" s="106" t="s">
        <v>47</v>
      </c>
      <c r="G44" s="107"/>
      <c r="H44" s="107"/>
      <c r="I44" s="107"/>
      <c r="J44" s="106"/>
      <c r="K44" s="108">
        <f>AB37</f>
        <v>88350</v>
      </c>
    </row>
    <row r="48" spans="1:30" ht="15.75" thickBot="1" x14ac:dyDescent="0.3"/>
    <row r="49" spans="12:13" ht="15.75" thickBot="1" x14ac:dyDescent="0.3">
      <c r="L49" s="106" t="s">
        <v>48</v>
      </c>
      <c r="M49" s="109">
        <f>S43+K42+K43+K44</f>
        <v>1407806.6799999997</v>
      </c>
    </row>
  </sheetData>
  <sheetProtection algorithmName="SHA-512" hashValue="5p7L4cZCFNmMaOKRwJnrsgRl7W14xmiaE2cH2UMS/VBKsCPfKQrlfr3vEEtG7kRUicQFJwYsAfovWCdLVQwXDA==" saltValue="8OysnYxPxe00WjQU34vQ/w==" spinCount="100000" sheet="1" scenarios="1" sort="0" autoFilter="0"/>
  <mergeCells count="9">
    <mergeCell ref="A4:A5"/>
    <mergeCell ref="W4:Z4"/>
    <mergeCell ref="AA4:AD4"/>
    <mergeCell ref="A1:AD1"/>
    <mergeCell ref="A2:AD2"/>
    <mergeCell ref="A3:AD3"/>
    <mergeCell ref="N4:S4"/>
    <mergeCell ref="B4:M4"/>
    <mergeCell ref="T4:V4"/>
  </mergeCells>
  <pageMargins left="0.11811023622047245" right="0.11811023622047245" top="0.35433070866141736" bottom="0.35433070866141736" header="0.31496062992125984" footer="0.31496062992125984"/>
  <pageSetup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9D0A-3FFB-49A9-A740-14DCC37FCE4A}">
  <sheetPr>
    <pageSetUpPr fitToPage="1"/>
  </sheetPr>
  <dimension ref="A1:AD4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U11" sqref="U11"/>
    </sheetView>
  </sheetViews>
  <sheetFormatPr defaultRowHeight="15" x14ac:dyDescent="0.25"/>
  <cols>
    <col min="1" max="1" width="12" customWidth="1"/>
    <col min="2" max="2" width="8.85546875" customWidth="1"/>
    <col min="3" max="3" width="5.140625" hidden="1" customWidth="1"/>
    <col min="4" max="4" width="6.140625" customWidth="1"/>
    <col min="5" max="5" width="0.140625" customWidth="1"/>
    <col min="6" max="6" width="9.140625" customWidth="1"/>
    <col min="7" max="7" width="7.85546875" hidden="1" customWidth="1"/>
    <col min="8" max="8" width="5.85546875" bestFit="1" customWidth="1"/>
    <col min="9" max="9" width="8.5703125" customWidth="1"/>
    <col min="10" max="10" width="6.42578125" bestFit="1" customWidth="1"/>
    <col min="11" max="15" width="9.28515625" customWidth="1"/>
    <col min="16" max="16" width="8.140625" customWidth="1"/>
    <col min="17" max="17" width="9.5703125" customWidth="1"/>
    <col min="18" max="18" width="11.7109375" customWidth="1"/>
    <col min="19" max="19" width="9.28515625" customWidth="1"/>
    <col min="20" max="20" width="10.5703125" style="2" bestFit="1" customWidth="1"/>
    <col min="21" max="21" width="15.140625" style="2" customWidth="1"/>
    <col min="22" max="22" width="10.7109375" style="2" customWidth="1"/>
    <col min="23" max="23" width="11.7109375" customWidth="1"/>
    <col min="24" max="24" width="8.85546875" customWidth="1"/>
    <col min="25" max="25" width="16.42578125" customWidth="1"/>
    <col min="26" max="26" width="10.140625" style="39" customWidth="1"/>
    <col min="27" max="27" width="9.140625" style="111"/>
    <col min="29" max="29" width="10.7109375" customWidth="1"/>
    <col min="30" max="30" width="9.7109375" customWidth="1"/>
  </cols>
  <sheetData>
    <row r="1" spans="1:30" ht="27" customHeight="1" thickBot="1" x14ac:dyDescent="0.4">
      <c r="A1" s="339" t="s">
        <v>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1"/>
    </row>
    <row r="2" spans="1:30" ht="18" customHeight="1" thickBot="1" x14ac:dyDescent="0.4">
      <c r="A2" s="339" t="s">
        <v>31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  <c r="Y2" s="340"/>
      <c r="Z2" s="340"/>
      <c r="AA2" s="340"/>
      <c r="AB2" s="340"/>
      <c r="AC2" s="340"/>
      <c r="AD2" s="341"/>
    </row>
    <row r="3" spans="1:30" ht="18" customHeight="1" thickBot="1" x14ac:dyDescent="0.4">
      <c r="A3" s="342" t="s">
        <v>32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4"/>
    </row>
    <row r="4" spans="1:30" ht="19.5" customHeight="1" thickBot="1" x14ac:dyDescent="0.35">
      <c r="A4" s="365">
        <v>45597</v>
      </c>
      <c r="B4" s="359" t="s">
        <v>25</v>
      </c>
      <c r="C4" s="360"/>
      <c r="D4" s="360"/>
      <c r="E4" s="360"/>
      <c r="F4" s="360"/>
      <c r="G4" s="360"/>
      <c r="H4" s="360"/>
      <c r="I4" s="360"/>
      <c r="J4" s="360"/>
      <c r="K4" s="360"/>
      <c r="L4" s="360"/>
      <c r="M4" s="361"/>
      <c r="N4" s="356" t="s">
        <v>37</v>
      </c>
      <c r="O4" s="357"/>
      <c r="P4" s="357"/>
      <c r="Q4" s="357"/>
      <c r="R4" s="357"/>
      <c r="S4" s="358"/>
      <c r="T4" s="362" t="s">
        <v>39</v>
      </c>
      <c r="U4" s="363"/>
      <c r="V4" s="364"/>
      <c r="W4" s="351" t="s">
        <v>17</v>
      </c>
      <c r="X4" s="352"/>
      <c r="Y4" s="352"/>
      <c r="Z4" s="352"/>
      <c r="AA4" s="353" t="s">
        <v>41</v>
      </c>
      <c r="AB4" s="354"/>
      <c r="AC4" s="354"/>
      <c r="AD4" s="355"/>
    </row>
    <row r="5" spans="1:30" ht="45" customHeight="1" thickBot="1" x14ac:dyDescent="0.3">
      <c r="A5" s="348"/>
      <c r="B5" s="66" t="s">
        <v>2</v>
      </c>
      <c r="C5" s="67" t="s">
        <v>14</v>
      </c>
      <c r="D5" s="67" t="s">
        <v>3</v>
      </c>
      <c r="E5" s="67" t="s">
        <v>14</v>
      </c>
      <c r="F5" s="67" t="s">
        <v>4</v>
      </c>
      <c r="G5" s="68" t="s">
        <v>14</v>
      </c>
      <c r="H5" s="69" t="s">
        <v>9</v>
      </c>
      <c r="I5" s="69" t="s">
        <v>14</v>
      </c>
      <c r="J5" s="101" t="s">
        <v>19</v>
      </c>
      <c r="K5" s="102" t="s">
        <v>28</v>
      </c>
      <c r="L5" s="102" t="s">
        <v>38</v>
      </c>
      <c r="M5" s="102" t="s">
        <v>28</v>
      </c>
      <c r="N5" s="98" t="s">
        <v>40</v>
      </c>
      <c r="O5" s="100" t="s">
        <v>14</v>
      </c>
      <c r="P5" s="100" t="s">
        <v>35</v>
      </c>
      <c r="Q5" s="100" t="s">
        <v>28</v>
      </c>
      <c r="R5" s="100" t="s">
        <v>36</v>
      </c>
      <c r="S5" s="99" t="s">
        <v>28</v>
      </c>
      <c r="T5" s="71" t="s">
        <v>13</v>
      </c>
      <c r="U5" s="67" t="s">
        <v>0</v>
      </c>
      <c r="V5" s="72" t="s">
        <v>20</v>
      </c>
      <c r="W5" s="87" t="s">
        <v>21</v>
      </c>
      <c r="X5" s="88" t="s">
        <v>15</v>
      </c>
      <c r="Y5" s="89" t="s">
        <v>6</v>
      </c>
      <c r="Z5" s="90" t="s">
        <v>16</v>
      </c>
      <c r="AA5" s="103" t="s">
        <v>42</v>
      </c>
      <c r="AB5" s="96" t="s">
        <v>14</v>
      </c>
      <c r="AC5" s="97" t="s">
        <v>34</v>
      </c>
      <c r="AD5" s="103" t="s">
        <v>43</v>
      </c>
    </row>
    <row r="6" spans="1:30" ht="15.75" customHeight="1" x14ac:dyDescent="0.25">
      <c r="A6" s="55">
        <v>1</v>
      </c>
      <c r="B6" s="51">
        <v>58</v>
      </c>
      <c r="C6" s="52">
        <f>+B6*38.82</f>
        <v>2251.56</v>
      </c>
      <c r="D6" s="51">
        <v>58</v>
      </c>
      <c r="E6" s="52">
        <f>+D6*77.64</f>
        <v>4503.12</v>
      </c>
      <c r="F6" s="51">
        <v>66</v>
      </c>
      <c r="G6" s="52">
        <f t="shared" ref="G6:G7" si="0">77.64*F6</f>
        <v>5124.24</v>
      </c>
      <c r="H6" s="51">
        <v>10</v>
      </c>
      <c r="I6" s="52">
        <f t="shared" ref="I6:I7" si="1">42*H6</f>
        <v>420</v>
      </c>
      <c r="J6" s="51"/>
      <c r="K6" s="52">
        <f>+J6*78</f>
        <v>0</v>
      </c>
      <c r="L6" s="51">
        <v>4</v>
      </c>
      <c r="M6" s="52">
        <f>+L6*28</f>
        <v>112</v>
      </c>
      <c r="N6" s="51">
        <v>295</v>
      </c>
      <c r="O6" s="52">
        <f>+N6*38</f>
        <v>11210</v>
      </c>
      <c r="P6" s="51">
        <v>144</v>
      </c>
      <c r="Q6" s="52">
        <f>+P6*14.41</f>
        <v>2075.04</v>
      </c>
      <c r="R6" s="51">
        <v>46</v>
      </c>
      <c r="S6" s="52">
        <f>+R6*28</f>
        <v>1288</v>
      </c>
      <c r="T6" s="94">
        <f t="shared" ref="T6:T36" si="2">+S6+Q6+K6+I6+G6+E6+C6+O6+M6</f>
        <v>26983.96</v>
      </c>
      <c r="U6" s="91">
        <v>23134.58</v>
      </c>
      <c r="V6" s="53">
        <f>+U6/T6*100</f>
        <v>85.734562310350299</v>
      </c>
      <c r="W6" s="54"/>
      <c r="X6" s="52">
        <f>14.41*W6</f>
        <v>0</v>
      </c>
      <c r="Y6" s="51"/>
      <c r="Z6" s="53" t="e">
        <f>+Y6/X6*100</f>
        <v>#DIV/0!</v>
      </c>
      <c r="AA6" s="110">
        <v>75</v>
      </c>
      <c r="AB6" s="78">
        <f>+AA6*38</f>
        <v>2850</v>
      </c>
      <c r="AC6" s="74"/>
      <c r="AD6" s="105">
        <f>+AC6/AB6*100</f>
        <v>0</v>
      </c>
    </row>
    <row r="7" spans="1:30" ht="15" customHeight="1" x14ac:dyDescent="0.25">
      <c r="A7" s="42">
        <v>2</v>
      </c>
      <c r="B7" s="43">
        <v>57</v>
      </c>
      <c r="C7" s="52">
        <f t="shared" ref="C7:C36" si="3">+B7*38.82</f>
        <v>2212.7400000000002</v>
      </c>
      <c r="D7" s="43">
        <v>53</v>
      </c>
      <c r="E7" s="52">
        <f t="shared" ref="E7:E35" si="4">+D7*77.64</f>
        <v>4114.92</v>
      </c>
      <c r="F7" s="43">
        <v>66</v>
      </c>
      <c r="G7" s="1">
        <f t="shared" si="0"/>
        <v>5124.24</v>
      </c>
      <c r="H7" s="43">
        <v>8</v>
      </c>
      <c r="I7" s="1">
        <f t="shared" si="1"/>
        <v>336</v>
      </c>
      <c r="J7" s="43"/>
      <c r="K7" s="52">
        <f t="shared" ref="K7:K36" si="5">+J7*78</f>
        <v>0</v>
      </c>
      <c r="L7" s="43">
        <v>4</v>
      </c>
      <c r="M7" s="52">
        <f t="shared" ref="M7:M36" si="6">+L7*28</f>
        <v>112</v>
      </c>
      <c r="N7" s="51">
        <v>295</v>
      </c>
      <c r="O7" s="52">
        <f t="shared" ref="O7:O36" si="7">+N7*38</f>
        <v>11210</v>
      </c>
      <c r="P7" s="51">
        <v>144</v>
      </c>
      <c r="Q7" s="52">
        <f t="shared" ref="Q7:Q36" si="8">+P7*14.41</f>
        <v>2075.04</v>
      </c>
      <c r="R7" s="43">
        <v>43</v>
      </c>
      <c r="S7" s="52">
        <f t="shared" ref="S7:S36" si="9">+R7*28</f>
        <v>1204</v>
      </c>
      <c r="T7" s="94">
        <f t="shared" si="2"/>
        <v>26388.94</v>
      </c>
      <c r="U7" s="92">
        <v>19824.09</v>
      </c>
      <c r="V7" s="44">
        <f t="shared" ref="V7:V36" si="10">+U7/T7*100</f>
        <v>75.122721867570291</v>
      </c>
      <c r="W7" s="45"/>
      <c r="X7" s="1">
        <f t="shared" ref="X7:X36" si="11">14.41*W7</f>
        <v>0</v>
      </c>
      <c r="Y7" s="43"/>
      <c r="Z7" s="44" t="e">
        <f t="shared" ref="Z7:Z36" si="12">+Y7/X7*100</f>
        <v>#DIV/0!</v>
      </c>
      <c r="AA7" s="110">
        <v>75</v>
      </c>
      <c r="AB7" s="78">
        <f t="shared" ref="AB7:AB36" si="13">+AA7*38</f>
        <v>2850</v>
      </c>
      <c r="AC7" s="74">
        <v>7751.8</v>
      </c>
      <c r="AD7" s="105">
        <f t="shared" ref="AD7:AD37" si="14">+AC7/AB7*100</f>
        <v>271.99298245614034</v>
      </c>
    </row>
    <row r="8" spans="1:30" ht="15" customHeight="1" x14ac:dyDescent="0.25">
      <c r="A8" s="42">
        <v>3</v>
      </c>
      <c r="B8" s="43">
        <v>86</v>
      </c>
      <c r="C8" s="52">
        <f t="shared" si="3"/>
        <v>3338.52</v>
      </c>
      <c r="D8" s="43">
        <v>154</v>
      </c>
      <c r="E8" s="52">
        <f t="shared" si="4"/>
        <v>11956.56</v>
      </c>
      <c r="F8" s="43">
        <v>243</v>
      </c>
      <c r="G8" s="1">
        <f>77.64*F8</f>
        <v>18866.52</v>
      </c>
      <c r="H8" s="43">
        <v>7</v>
      </c>
      <c r="I8" s="1">
        <f>42*H8</f>
        <v>294</v>
      </c>
      <c r="J8" s="43"/>
      <c r="K8" s="52">
        <f t="shared" si="5"/>
        <v>0</v>
      </c>
      <c r="L8" s="43">
        <v>142</v>
      </c>
      <c r="M8" s="52">
        <f t="shared" si="6"/>
        <v>3976</v>
      </c>
      <c r="N8" s="51">
        <v>295</v>
      </c>
      <c r="O8" s="52">
        <f t="shared" si="7"/>
        <v>11210</v>
      </c>
      <c r="P8" s="51">
        <v>144</v>
      </c>
      <c r="Q8" s="52">
        <f t="shared" si="8"/>
        <v>2075.04</v>
      </c>
      <c r="R8" s="43">
        <v>43</v>
      </c>
      <c r="S8" s="52">
        <f t="shared" si="9"/>
        <v>1204</v>
      </c>
      <c r="T8" s="94">
        <f t="shared" si="2"/>
        <v>52920.639999999999</v>
      </c>
      <c r="U8" s="92">
        <v>25260.86</v>
      </c>
      <c r="V8" s="44">
        <f t="shared" si="10"/>
        <v>47.733474122761933</v>
      </c>
      <c r="W8" s="45"/>
      <c r="X8" s="1">
        <f t="shared" si="11"/>
        <v>0</v>
      </c>
      <c r="Y8" s="43"/>
      <c r="Z8" s="44" t="e">
        <f t="shared" si="12"/>
        <v>#DIV/0!</v>
      </c>
      <c r="AA8" s="110">
        <v>75</v>
      </c>
      <c r="AB8" s="78">
        <f t="shared" si="13"/>
        <v>2850</v>
      </c>
      <c r="AC8" s="74"/>
      <c r="AD8" s="105">
        <f t="shared" si="14"/>
        <v>0</v>
      </c>
    </row>
    <row r="9" spans="1:30" ht="15" customHeight="1" x14ac:dyDescent="0.25">
      <c r="A9" s="42">
        <v>4</v>
      </c>
      <c r="B9" s="43">
        <v>104</v>
      </c>
      <c r="C9" s="51">
        <f t="shared" si="3"/>
        <v>4037.28</v>
      </c>
      <c r="D9" s="43">
        <v>181</v>
      </c>
      <c r="E9" s="51">
        <f t="shared" si="4"/>
        <v>14052.84</v>
      </c>
      <c r="F9" s="43">
        <v>216</v>
      </c>
      <c r="G9" s="1">
        <f t="shared" ref="G9:G36" si="15">77.64*F9</f>
        <v>16770.240000000002</v>
      </c>
      <c r="H9" s="43">
        <v>18</v>
      </c>
      <c r="I9" s="1">
        <f t="shared" ref="I9:I36" si="16">42*H9</f>
        <v>756</v>
      </c>
      <c r="J9" s="43"/>
      <c r="K9" s="52">
        <f t="shared" si="5"/>
        <v>0</v>
      </c>
      <c r="L9" s="43">
        <v>4</v>
      </c>
      <c r="M9" s="52">
        <f t="shared" si="6"/>
        <v>112</v>
      </c>
      <c r="N9" s="51">
        <v>295</v>
      </c>
      <c r="O9" s="52">
        <f t="shared" si="7"/>
        <v>11210</v>
      </c>
      <c r="P9" s="51">
        <v>144</v>
      </c>
      <c r="Q9" s="52">
        <f t="shared" si="8"/>
        <v>2075.04</v>
      </c>
      <c r="R9" s="43">
        <v>43</v>
      </c>
      <c r="S9" s="52">
        <f t="shared" si="9"/>
        <v>1204</v>
      </c>
      <c r="T9" s="94">
        <f t="shared" si="2"/>
        <v>50217.4</v>
      </c>
      <c r="U9" s="92">
        <v>19380.91</v>
      </c>
      <c r="V9" s="44">
        <f t="shared" si="10"/>
        <v>38.594013230473898</v>
      </c>
      <c r="W9" s="45"/>
      <c r="X9" s="1">
        <f t="shared" si="11"/>
        <v>0</v>
      </c>
      <c r="Y9" s="43"/>
      <c r="Z9" s="44" t="e">
        <f t="shared" si="12"/>
        <v>#DIV/0!</v>
      </c>
      <c r="AA9" s="110">
        <v>75</v>
      </c>
      <c r="AB9" s="78">
        <f t="shared" si="13"/>
        <v>2850</v>
      </c>
      <c r="AC9" s="74"/>
      <c r="AD9" s="105">
        <f t="shared" si="14"/>
        <v>0</v>
      </c>
    </row>
    <row r="10" spans="1:30" ht="15" customHeight="1" x14ac:dyDescent="0.25">
      <c r="A10" s="42">
        <v>5</v>
      </c>
      <c r="B10" s="43">
        <v>119</v>
      </c>
      <c r="C10" s="51">
        <f t="shared" si="3"/>
        <v>4619.58</v>
      </c>
      <c r="D10" s="43">
        <v>146</v>
      </c>
      <c r="E10" s="51">
        <f t="shared" si="4"/>
        <v>11335.44</v>
      </c>
      <c r="F10" s="43">
        <v>209</v>
      </c>
      <c r="G10" s="1">
        <f t="shared" si="15"/>
        <v>16226.76</v>
      </c>
      <c r="H10" s="43">
        <v>15</v>
      </c>
      <c r="I10" s="1">
        <f t="shared" si="16"/>
        <v>630</v>
      </c>
      <c r="J10" s="43"/>
      <c r="K10" s="52">
        <f t="shared" si="5"/>
        <v>0</v>
      </c>
      <c r="L10" s="43">
        <v>4</v>
      </c>
      <c r="M10" s="52">
        <f t="shared" si="6"/>
        <v>112</v>
      </c>
      <c r="N10" s="51">
        <v>295</v>
      </c>
      <c r="O10" s="52">
        <f t="shared" si="7"/>
        <v>11210</v>
      </c>
      <c r="P10" s="51">
        <v>144</v>
      </c>
      <c r="Q10" s="52">
        <f t="shared" si="8"/>
        <v>2075.04</v>
      </c>
      <c r="R10" s="43">
        <v>47</v>
      </c>
      <c r="S10" s="52">
        <f t="shared" si="9"/>
        <v>1316</v>
      </c>
      <c r="T10" s="94">
        <f t="shared" si="2"/>
        <v>47524.82</v>
      </c>
      <c r="U10" s="92">
        <v>18259.28</v>
      </c>
      <c r="V10" s="44">
        <f t="shared" si="10"/>
        <v>38.420513744186721</v>
      </c>
      <c r="W10" s="45"/>
      <c r="X10" s="1">
        <f t="shared" si="11"/>
        <v>0</v>
      </c>
      <c r="Y10" s="43"/>
      <c r="Z10" s="44" t="e">
        <f t="shared" si="12"/>
        <v>#DIV/0!</v>
      </c>
      <c r="AA10" s="110">
        <v>75</v>
      </c>
      <c r="AB10" s="78">
        <f t="shared" si="13"/>
        <v>2850</v>
      </c>
      <c r="AC10" s="74"/>
      <c r="AD10" s="105">
        <f t="shared" si="14"/>
        <v>0</v>
      </c>
    </row>
    <row r="11" spans="1:30" ht="15" customHeight="1" x14ac:dyDescent="0.25">
      <c r="A11" s="42">
        <v>6</v>
      </c>
      <c r="B11" s="43">
        <v>106</v>
      </c>
      <c r="C11" s="51">
        <f t="shared" si="3"/>
        <v>4114.92</v>
      </c>
      <c r="D11" s="43">
        <v>160</v>
      </c>
      <c r="E11" s="51">
        <f t="shared" si="4"/>
        <v>12422.4</v>
      </c>
      <c r="F11" s="43">
        <v>200</v>
      </c>
      <c r="G11" s="1">
        <f t="shared" si="15"/>
        <v>15528</v>
      </c>
      <c r="H11" s="43">
        <v>12</v>
      </c>
      <c r="I11" s="1">
        <f t="shared" si="16"/>
        <v>504</v>
      </c>
      <c r="J11" s="43"/>
      <c r="K11" s="52">
        <f t="shared" si="5"/>
        <v>0</v>
      </c>
      <c r="L11" s="43">
        <v>4</v>
      </c>
      <c r="M11" s="52">
        <f t="shared" si="6"/>
        <v>112</v>
      </c>
      <c r="N11" s="51">
        <v>295</v>
      </c>
      <c r="O11" s="52">
        <f t="shared" si="7"/>
        <v>11210</v>
      </c>
      <c r="P11" s="43">
        <v>144</v>
      </c>
      <c r="Q11" s="52">
        <f t="shared" si="8"/>
        <v>2075.04</v>
      </c>
      <c r="R11" s="43">
        <v>47</v>
      </c>
      <c r="S11" s="52">
        <f t="shared" si="9"/>
        <v>1316</v>
      </c>
      <c r="T11" s="94">
        <f t="shared" si="2"/>
        <v>47282.36</v>
      </c>
      <c r="U11" s="92">
        <v>16136.94</v>
      </c>
      <c r="V11" s="44">
        <f t="shared" si="10"/>
        <v>34.128880199719305</v>
      </c>
      <c r="W11" s="45"/>
      <c r="X11" s="1">
        <f t="shared" si="11"/>
        <v>0</v>
      </c>
      <c r="Y11" s="43"/>
      <c r="Z11" s="44" t="e">
        <f t="shared" si="12"/>
        <v>#DIV/0!</v>
      </c>
      <c r="AA11" s="110">
        <v>75</v>
      </c>
      <c r="AB11" s="78">
        <f t="shared" si="13"/>
        <v>2850</v>
      </c>
      <c r="AC11" s="74"/>
      <c r="AD11" s="105">
        <f t="shared" si="14"/>
        <v>0</v>
      </c>
    </row>
    <row r="12" spans="1:30" ht="13.5" customHeight="1" x14ac:dyDescent="0.25">
      <c r="A12" s="42">
        <v>7</v>
      </c>
      <c r="B12" s="43">
        <v>101</v>
      </c>
      <c r="C12" s="51">
        <f t="shared" si="3"/>
        <v>3920.82</v>
      </c>
      <c r="D12" s="43">
        <v>71</v>
      </c>
      <c r="E12" s="51">
        <f t="shared" si="4"/>
        <v>5512.44</v>
      </c>
      <c r="F12" s="43">
        <v>80</v>
      </c>
      <c r="G12" s="1">
        <f t="shared" si="15"/>
        <v>6211.2</v>
      </c>
      <c r="H12" s="43">
        <v>14</v>
      </c>
      <c r="I12" s="1">
        <f t="shared" si="16"/>
        <v>588</v>
      </c>
      <c r="J12" s="43"/>
      <c r="K12" s="52">
        <f t="shared" si="5"/>
        <v>0</v>
      </c>
      <c r="L12" s="43">
        <v>4</v>
      </c>
      <c r="M12" s="52">
        <f t="shared" si="6"/>
        <v>112</v>
      </c>
      <c r="N12" s="51">
        <v>295</v>
      </c>
      <c r="O12" s="52">
        <f t="shared" si="7"/>
        <v>11210</v>
      </c>
      <c r="P12" s="43">
        <v>144</v>
      </c>
      <c r="Q12" s="52">
        <f t="shared" si="8"/>
        <v>2075.04</v>
      </c>
      <c r="R12" s="43">
        <v>47</v>
      </c>
      <c r="S12" s="52">
        <f t="shared" si="9"/>
        <v>1316</v>
      </c>
      <c r="T12" s="94">
        <f t="shared" si="2"/>
        <v>30945.5</v>
      </c>
      <c r="U12" s="92">
        <v>18637.89</v>
      </c>
      <c r="V12" s="44">
        <f t="shared" si="10"/>
        <v>60.228110710765705</v>
      </c>
      <c r="W12" s="45"/>
      <c r="X12" s="1">
        <f t="shared" si="11"/>
        <v>0</v>
      </c>
      <c r="Y12" s="43"/>
      <c r="Z12" s="44" t="e">
        <f t="shared" si="12"/>
        <v>#DIV/0!</v>
      </c>
      <c r="AA12" s="110">
        <v>75</v>
      </c>
      <c r="AB12" s="78">
        <f t="shared" si="13"/>
        <v>2850</v>
      </c>
      <c r="AC12" s="74"/>
      <c r="AD12" s="105">
        <f t="shared" si="14"/>
        <v>0</v>
      </c>
    </row>
    <row r="13" spans="1:30" ht="15" customHeight="1" x14ac:dyDescent="0.25">
      <c r="A13" s="47">
        <v>8</v>
      </c>
      <c r="B13" s="48">
        <v>55</v>
      </c>
      <c r="C13" s="51">
        <f t="shared" si="3"/>
        <v>2135.1</v>
      </c>
      <c r="D13" s="48">
        <v>60</v>
      </c>
      <c r="E13" s="51">
        <f t="shared" si="4"/>
        <v>4658.3999999999996</v>
      </c>
      <c r="F13" s="48">
        <v>64</v>
      </c>
      <c r="G13" s="49">
        <f t="shared" si="15"/>
        <v>4968.96</v>
      </c>
      <c r="H13" s="48">
        <v>9</v>
      </c>
      <c r="I13" s="49">
        <f t="shared" si="16"/>
        <v>378</v>
      </c>
      <c r="J13" s="43"/>
      <c r="K13" s="52">
        <f t="shared" si="5"/>
        <v>0</v>
      </c>
      <c r="L13" s="43">
        <v>4</v>
      </c>
      <c r="M13" s="52">
        <f t="shared" si="6"/>
        <v>112</v>
      </c>
      <c r="N13" s="51">
        <v>295</v>
      </c>
      <c r="O13" s="52">
        <f t="shared" si="7"/>
        <v>11210</v>
      </c>
      <c r="P13" s="43">
        <v>144</v>
      </c>
      <c r="Q13" s="52">
        <f t="shared" si="8"/>
        <v>2075.04</v>
      </c>
      <c r="R13" s="48">
        <v>8</v>
      </c>
      <c r="S13" s="52">
        <f t="shared" si="9"/>
        <v>224</v>
      </c>
      <c r="T13" s="94">
        <f t="shared" si="2"/>
        <v>25761.5</v>
      </c>
      <c r="U13" s="92">
        <v>14089.89</v>
      </c>
      <c r="V13" s="44">
        <f t="shared" si="10"/>
        <v>54.693593152572639</v>
      </c>
      <c r="W13" s="45"/>
      <c r="X13" s="1">
        <f t="shared" si="11"/>
        <v>0</v>
      </c>
      <c r="Y13" s="43"/>
      <c r="Z13" s="44" t="e">
        <f t="shared" si="12"/>
        <v>#DIV/0!</v>
      </c>
      <c r="AA13" s="110">
        <v>75</v>
      </c>
      <c r="AB13" s="78">
        <f t="shared" si="13"/>
        <v>2850</v>
      </c>
      <c r="AC13" s="74"/>
      <c r="AD13" s="105">
        <f t="shared" si="14"/>
        <v>0</v>
      </c>
    </row>
    <row r="14" spans="1:30" ht="15" customHeight="1" x14ac:dyDescent="0.25">
      <c r="A14" s="42">
        <v>9</v>
      </c>
      <c r="B14" s="43">
        <v>52</v>
      </c>
      <c r="C14" s="51">
        <f t="shared" si="3"/>
        <v>2018.64</v>
      </c>
      <c r="D14" s="43">
        <v>51</v>
      </c>
      <c r="E14" s="51">
        <f t="shared" si="4"/>
        <v>3959.64</v>
      </c>
      <c r="F14" s="43">
        <v>67</v>
      </c>
      <c r="G14" s="1">
        <f t="shared" si="15"/>
        <v>5201.88</v>
      </c>
      <c r="H14" s="43">
        <v>6</v>
      </c>
      <c r="I14" s="1">
        <f t="shared" si="16"/>
        <v>252</v>
      </c>
      <c r="J14" s="43"/>
      <c r="K14" s="52">
        <f t="shared" si="5"/>
        <v>0</v>
      </c>
      <c r="L14" s="43">
        <v>4</v>
      </c>
      <c r="M14" s="52">
        <f t="shared" si="6"/>
        <v>112</v>
      </c>
      <c r="N14" s="51">
        <v>295</v>
      </c>
      <c r="O14" s="52">
        <f t="shared" si="7"/>
        <v>11210</v>
      </c>
      <c r="P14" s="43">
        <v>144</v>
      </c>
      <c r="Q14" s="52">
        <f t="shared" si="8"/>
        <v>2075.04</v>
      </c>
      <c r="R14" s="43">
        <v>8</v>
      </c>
      <c r="S14" s="52">
        <f t="shared" si="9"/>
        <v>224</v>
      </c>
      <c r="T14" s="94">
        <f t="shared" si="2"/>
        <v>25053.199999999997</v>
      </c>
      <c r="U14" s="92">
        <v>17628.46</v>
      </c>
      <c r="V14" s="44">
        <f t="shared" si="10"/>
        <v>70.364105184168096</v>
      </c>
      <c r="W14" s="45"/>
      <c r="X14" s="1">
        <f t="shared" si="11"/>
        <v>0</v>
      </c>
      <c r="Y14" s="43"/>
      <c r="Z14" s="44" t="e">
        <f t="shared" si="12"/>
        <v>#DIV/0!</v>
      </c>
      <c r="AA14" s="110">
        <v>75</v>
      </c>
      <c r="AB14" s="78">
        <f t="shared" si="13"/>
        <v>2850</v>
      </c>
      <c r="AC14" s="74">
        <v>8551.56</v>
      </c>
      <c r="AD14" s="105">
        <f t="shared" si="14"/>
        <v>300.05473684210523</v>
      </c>
    </row>
    <row r="15" spans="1:30" ht="15" customHeight="1" x14ac:dyDescent="0.25">
      <c r="A15" s="42">
        <v>10</v>
      </c>
      <c r="B15" s="43">
        <v>71</v>
      </c>
      <c r="C15" s="51">
        <f t="shared" si="3"/>
        <v>2756.22</v>
      </c>
      <c r="D15" s="43">
        <v>137</v>
      </c>
      <c r="E15" s="51">
        <f t="shared" si="4"/>
        <v>10636.68</v>
      </c>
      <c r="F15" s="43">
        <v>203</v>
      </c>
      <c r="G15" s="1">
        <f t="shared" si="15"/>
        <v>15760.92</v>
      </c>
      <c r="H15" s="43">
        <v>10</v>
      </c>
      <c r="I15" s="1">
        <f t="shared" si="16"/>
        <v>420</v>
      </c>
      <c r="J15" s="43"/>
      <c r="K15" s="52">
        <f t="shared" si="5"/>
        <v>0</v>
      </c>
      <c r="L15" s="43">
        <v>145</v>
      </c>
      <c r="M15" s="52">
        <f t="shared" si="6"/>
        <v>4060</v>
      </c>
      <c r="N15" s="51">
        <v>295</v>
      </c>
      <c r="O15" s="52">
        <f t="shared" si="7"/>
        <v>11210</v>
      </c>
      <c r="P15" s="43">
        <v>144</v>
      </c>
      <c r="Q15" s="52">
        <f t="shared" si="8"/>
        <v>2075.04</v>
      </c>
      <c r="R15" s="43">
        <v>49</v>
      </c>
      <c r="S15" s="52">
        <f t="shared" si="9"/>
        <v>1372</v>
      </c>
      <c r="T15" s="94">
        <f t="shared" si="2"/>
        <v>48290.86</v>
      </c>
      <c r="U15" s="92">
        <v>19669.13</v>
      </c>
      <c r="V15" s="44">
        <f t="shared" si="10"/>
        <v>40.730544040839199</v>
      </c>
      <c r="W15" s="45"/>
      <c r="X15" s="1">
        <f t="shared" si="11"/>
        <v>0</v>
      </c>
      <c r="Y15" s="43"/>
      <c r="Z15" s="44" t="e">
        <f t="shared" si="12"/>
        <v>#DIV/0!</v>
      </c>
      <c r="AA15" s="110">
        <v>75</v>
      </c>
      <c r="AB15" s="78">
        <f t="shared" si="13"/>
        <v>2850</v>
      </c>
      <c r="AC15" s="74"/>
      <c r="AD15" s="105">
        <f t="shared" si="14"/>
        <v>0</v>
      </c>
    </row>
    <row r="16" spans="1:30" ht="15" customHeight="1" x14ac:dyDescent="0.25">
      <c r="A16" s="42">
        <v>11</v>
      </c>
      <c r="B16" s="43">
        <v>114</v>
      </c>
      <c r="C16" s="51">
        <f t="shared" si="3"/>
        <v>4425.4800000000005</v>
      </c>
      <c r="D16" s="43">
        <v>143</v>
      </c>
      <c r="E16" s="51">
        <f t="shared" si="4"/>
        <v>11102.52</v>
      </c>
      <c r="F16" s="43">
        <v>202</v>
      </c>
      <c r="G16" s="1">
        <f t="shared" si="15"/>
        <v>15683.28</v>
      </c>
      <c r="H16" s="43">
        <v>11</v>
      </c>
      <c r="I16" s="1">
        <f t="shared" si="16"/>
        <v>462</v>
      </c>
      <c r="J16" s="43"/>
      <c r="K16" s="52">
        <f t="shared" si="5"/>
        <v>0</v>
      </c>
      <c r="L16" s="43">
        <v>4</v>
      </c>
      <c r="M16" s="52">
        <f t="shared" si="6"/>
        <v>112</v>
      </c>
      <c r="N16" s="51">
        <v>295</v>
      </c>
      <c r="O16" s="52">
        <f t="shared" si="7"/>
        <v>11210</v>
      </c>
      <c r="P16" s="43">
        <v>144</v>
      </c>
      <c r="Q16" s="52">
        <f t="shared" si="8"/>
        <v>2075.04</v>
      </c>
      <c r="R16" s="43">
        <v>47</v>
      </c>
      <c r="S16" s="52">
        <f t="shared" si="9"/>
        <v>1316</v>
      </c>
      <c r="T16" s="94">
        <f t="shared" si="2"/>
        <v>46386.32</v>
      </c>
      <c r="U16" s="92">
        <v>18619.77</v>
      </c>
      <c r="V16" s="44">
        <f t="shared" si="10"/>
        <v>40.14064922589246</v>
      </c>
      <c r="W16" s="45"/>
      <c r="X16" s="1">
        <f t="shared" si="11"/>
        <v>0</v>
      </c>
      <c r="Y16" s="43"/>
      <c r="Z16" s="44" t="e">
        <f t="shared" si="12"/>
        <v>#DIV/0!</v>
      </c>
      <c r="AA16" s="110">
        <v>75</v>
      </c>
      <c r="AB16" s="78">
        <f t="shared" si="13"/>
        <v>2850</v>
      </c>
      <c r="AC16" s="74"/>
      <c r="AD16" s="105">
        <f t="shared" si="14"/>
        <v>0</v>
      </c>
    </row>
    <row r="17" spans="1:30" ht="15" customHeight="1" x14ac:dyDescent="0.25">
      <c r="A17" s="42">
        <v>12</v>
      </c>
      <c r="B17" s="43">
        <v>105</v>
      </c>
      <c r="C17" s="51">
        <f t="shared" si="3"/>
        <v>4076.1</v>
      </c>
      <c r="D17" s="43">
        <v>122</v>
      </c>
      <c r="E17" s="51">
        <f t="shared" si="4"/>
        <v>9472.08</v>
      </c>
      <c r="F17" s="43">
        <v>152</v>
      </c>
      <c r="G17" s="1">
        <f t="shared" si="15"/>
        <v>11801.28</v>
      </c>
      <c r="H17" s="43">
        <v>3</v>
      </c>
      <c r="I17" s="1">
        <f t="shared" si="16"/>
        <v>126</v>
      </c>
      <c r="J17" s="43">
        <v>215</v>
      </c>
      <c r="K17" s="52">
        <f t="shared" si="5"/>
        <v>16770</v>
      </c>
      <c r="L17" s="43">
        <v>4</v>
      </c>
      <c r="M17" s="52">
        <f t="shared" si="6"/>
        <v>112</v>
      </c>
      <c r="N17" s="51">
        <v>295</v>
      </c>
      <c r="O17" s="52">
        <f t="shared" si="7"/>
        <v>11210</v>
      </c>
      <c r="P17" s="43">
        <v>144</v>
      </c>
      <c r="Q17" s="52">
        <f t="shared" si="8"/>
        <v>2075.04</v>
      </c>
      <c r="R17" s="43">
        <v>47</v>
      </c>
      <c r="S17" s="52">
        <f t="shared" si="9"/>
        <v>1316</v>
      </c>
      <c r="T17" s="94">
        <f t="shared" si="2"/>
        <v>56958.5</v>
      </c>
      <c r="U17" s="92">
        <v>19757.62</v>
      </c>
      <c r="V17" s="44">
        <f t="shared" si="10"/>
        <v>34.687746341634693</v>
      </c>
      <c r="W17" s="45"/>
      <c r="X17" s="1">
        <f t="shared" si="11"/>
        <v>0</v>
      </c>
      <c r="Y17" s="43">
        <v>75.3</v>
      </c>
      <c r="Z17" s="44" t="e">
        <f t="shared" si="12"/>
        <v>#DIV/0!</v>
      </c>
      <c r="AA17" s="110">
        <v>75</v>
      </c>
      <c r="AB17" s="78">
        <f t="shared" si="13"/>
        <v>2850</v>
      </c>
      <c r="AC17" s="104"/>
      <c r="AD17" s="105">
        <f t="shared" si="14"/>
        <v>0</v>
      </c>
    </row>
    <row r="18" spans="1:30" ht="15" customHeight="1" x14ac:dyDescent="0.25">
      <c r="A18" s="42">
        <v>13</v>
      </c>
      <c r="B18" s="43">
        <v>84</v>
      </c>
      <c r="C18" s="51">
        <f t="shared" si="3"/>
        <v>3260.88</v>
      </c>
      <c r="D18" s="43">
        <v>134</v>
      </c>
      <c r="E18" s="51">
        <f t="shared" si="4"/>
        <v>10403.76</v>
      </c>
      <c r="F18" s="43">
        <v>157</v>
      </c>
      <c r="G18" s="1">
        <f t="shared" si="15"/>
        <v>12189.48</v>
      </c>
      <c r="H18" s="43">
        <v>11</v>
      </c>
      <c r="I18" s="1">
        <f t="shared" si="16"/>
        <v>462</v>
      </c>
      <c r="J18" s="43">
        <v>10</v>
      </c>
      <c r="K18" s="52">
        <f t="shared" si="5"/>
        <v>780</v>
      </c>
      <c r="L18" s="43">
        <v>4</v>
      </c>
      <c r="M18" s="52">
        <f t="shared" si="6"/>
        <v>112</v>
      </c>
      <c r="N18" s="51">
        <v>295</v>
      </c>
      <c r="O18" s="52">
        <f t="shared" si="7"/>
        <v>11210</v>
      </c>
      <c r="P18" s="43">
        <v>144</v>
      </c>
      <c r="Q18" s="52">
        <f t="shared" si="8"/>
        <v>2075.04</v>
      </c>
      <c r="R18" s="43">
        <v>47</v>
      </c>
      <c r="S18" s="52">
        <f t="shared" si="9"/>
        <v>1316</v>
      </c>
      <c r="T18" s="94">
        <f t="shared" si="2"/>
        <v>41809.160000000003</v>
      </c>
      <c r="U18" s="92">
        <v>16197.28</v>
      </c>
      <c r="V18" s="44">
        <f t="shared" si="10"/>
        <v>38.740984033164025</v>
      </c>
      <c r="W18" s="45">
        <v>10</v>
      </c>
      <c r="X18" s="1">
        <f t="shared" si="11"/>
        <v>144.1</v>
      </c>
      <c r="Y18" s="43"/>
      <c r="Z18" s="44">
        <f t="shared" si="12"/>
        <v>0</v>
      </c>
      <c r="AA18" s="110">
        <v>75</v>
      </c>
      <c r="AB18" s="78">
        <f t="shared" si="13"/>
        <v>2850</v>
      </c>
      <c r="AC18" s="74"/>
      <c r="AD18" s="105">
        <f t="shared" si="14"/>
        <v>0</v>
      </c>
    </row>
    <row r="19" spans="1:30" ht="15" customHeight="1" x14ac:dyDescent="0.25">
      <c r="A19" s="42">
        <v>14</v>
      </c>
      <c r="B19" s="43">
        <v>95</v>
      </c>
      <c r="C19" s="51">
        <f t="shared" si="3"/>
        <v>3687.9</v>
      </c>
      <c r="D19" s="43">
        <v>89</v>
      </c>
      <c r="E19" s="51">
        <f t="shared" si="4"/>
        <v>6909.96</v>
      </c>
      <c r="F19" s="43">
        <v>71</v>
      </c>
      <c r="G19" s="1">
        <f t="shared" si="15"/>
        <v>5512.44</v>
      </c>
      <c r="H19" s="43">
        <v>9</v>
      </c>
      <c r="I19" s="1">
        <f t="shared" si="16"/>
        <v>378</v>
      </c>
      <c r="J19" s="43"/>
      <c r="K19" s="52">
        <f t="shared" si="5"/>
        <v>0</v>
      </c>
      <c r="L19" s="43">
        <v>4</v>
      </c>
      <c r="M19" s="52">
        <f t="shared" si="6"/>
        <v>112</v>
      </c>
      <c r="N19" s="51">
        <v>295</v>
      </c>
      <c r="O19" s="52">
        <f t="shared" si="7"/>
        <v>11210</v>
      </c>
      <c r="P19" s="43">
        <v>144</v>
      </c>
      <c r="Q19" s="52">
        <f t="shared" si="8"/>
        <v>2075.04</v>
      </c>
      <c r="R19" s="43">
        <v>47</v>
      </c>
      <c r="S19" s="52">
        <f t="shared" si="9"/>
        <v>1316</v>
      </c>
      <c r="T19" s="94">
        <f t="shared" si="2"/>
        <v>31201.34</v>
      </c>
      <c r="U19" s="92">
        <v>16828.669999999998</v>
      </c>
      <c r="V19" s="44">
        <f t="shared" si="10"/>
        <v>53.935728401408397</v>
      </c>
      <c r="W19" s="45">
        <v>10</v>
      </c>
      <c r="X19" s="1">
        <f t="shared" si="11"/>
        <v>144.1</v>
      </c>
      <c r="Y19" s="43"/>
      <c r="Z19" s="44">
        <f t="shared" si="12"/>
        <v>0</v>
      </c>
      <c r="AA19" s="110">
        <v>75</v>
      </c>
      <c r="AB19" s="78">
        <f t="shared" si="13"/>
        <v>2850</v>
      </c>
      <c r="AC19" s="74"/>
      <c r="AD19" s="105">
        <f t="shared" si="14"/>
        <v>0</v>
      </c>
    </row>
    <row r="20" spans="1:30" ht="15" customHeight="1" x14ac:dyDescent="0.25">
      <c r="A20" s="42">
        <v>15</v>
      </c>
      <c r="B20" s="48">
        <v>49</v>
      </c>
      <c r="C20" s="51">
        <f t="shared" si="3"/>
        <v>1902.18</v>
      </c>
      <c r="D20" s="48">
        <v>62</v>
      </c>
      <c r="E20" s="51">
        <f t="shared" si="4"/>
        <v>4813.68</v>
      </c>
      <c r="F20" s="48">
        <v>77</v>
      </c>
      <c r="G20" s="49">
        <f t="shared" si="15"/>
        <v>5978.28</v>
      </c>
      <c r="H20" s="48">
        <v>14</v>
      </c>
      <c r="I20" s="49">
        <f t="shared" si="16"/>
        <v>588</v>
      </c>
      <c r="J20" s="43"/>
      <c r="K20" s="52">
        <f t="shared" si="5"/>
        <v>0</v>
      </c>
      <c r="L20" s="43">
        <v>4</v>
      </c>
      <c r="M20" s="52">
        <f t="shared" si="6"/>
        <v>112</v>
      </c>
      <c r="N20" s="51">
        <v>295</v>
      </c>
      <c r="O20" s="52">
        <f t="shared" si="7"/>
        <v>11210</v>
      </c>
      <c r="P20" s="43">
        <v>144</v>
      </c>
      <c r="Q20" s="52">
        <f t="shared" si="8"/>
        <v>2075.04</v>
      </c>
      <c r="R20" s="43">
        <v>8</v>
      </c>
      <c r="S20" s="52">
        <f t="shared" si="9"/>
        <v>224</v>
      </c>
      <c r="T20" s="94">
        <f t="shared" si="2"/>
        <v>26903.18</v>
      </c>
      <c r="U20" s="92">
        <v>16698.939999999999</v>
      </c>
      <c r="V20" s="44">
        <f t="shared" si="10"/>
        <v>62.070506163211924</v>
      </c>
      <c r="W20" s="45"/>
      <c r="X20" s="1">
        <f t="shared" si="11"/>
        <v>0</v>
      </c>
      <c r="Y20" s="43"/>
      <c r="Z20" s="44" t="e">
        <f t="shared" si="12"/>
        <v>#DIV/0!</v>
      </c>
      <c r="AA20" s="110">
        <v>75</v>
      </c>
      <c r="AB20" s="78">
        <f t="shared" si="13"/>
        <v>2850</v>
      </c>
      <c r="AC20" s="74"/>
      <c r="AD20" s="105">
        <f t="shared" si="14"/>
        <v>0</v>
      </c>
    </row>
    <row r="21" spans="1:30" ht="16.5" customHeight="1" x14ac:dyDescent="0.25">
      <c r="A21" s="42">
        <v>16</v>
      </c>
      <c r="B21" s="43">
        <v>48</v>
      </c>
      <c r="C21" s="51">
        <f t="shared" si="3"/>
        <v>1863.3600000000001</v>
      </c>
      <c r="D21" s="43">
        <v>46</v>
      </c>
      <c r="E21" s="51">
        <f t="shared" si="4"/>
        <v>3571.44</v>
      </c>
      <c r="F21" s="43">
        <v>67</v>
      </c>
      <c r="G21" s="1">
        <f t="shared" si="15"/>
        <v>5201.88</v>
      </c>
      <c r="H21" s="43">
        <v>11</v>
      </c>
      <c r="I21" s="1">
        <f t="shared" si="16"/>
        <v>462</v>
      </c>
      <c r="J21" s="43"/>
      <c r="K21" s="52">
        <f t="shared" si="5"/>
        <v>0</v>
      </c>
      <c r="L21" s="43">
        <v>4</v>
      </c>
      <c r="M21" s="52">
        <f t="shared" si="6"/>
        <v>112</v>
      </c>
      <c r="N21" s="51">
        <v>295</v>
      </c>
      <c r="O21" s="52">
        <f t="shared" si="7"/>
        <v>11210</v>
      </c>
      <c r="P21" s="43">
        <v>144</v>
      </c>
      <c r="Q21" s="52">
        <f t="shared" si="8"/>
        <v>2075.04</v>
      </c>
      <c r="R21" s="43">
        <v>8</v>
      </c>
      <c r="S21" s="52">
        <f t="shared" si="9"/>
        <v>224</v>
      </c>
      <c r="T21" s="94">
        <f t="shared" si="2"/>
        <v>24719.72</v>
      </c>
      <c r="U21" s="92">
        <v>21320.7</v>
      </c>
      <c r="V21" s="44">
        <f t="shared" si="10"/>
        <v>86.24976334683403</v>
      </c>
      <c r="W21" s="45"/>
      <c r="X21" s="1">
        <f t="shared" si="11"/>
        <v>0</v>
      </c>
      <c r="Y21" s="43"/>
      <c r="Z21" s="44" t="e">
        <f t="shared" si="12"/>
        <v>#DIV/0!</v>
      </c>
      <c r="AA21" s="110">
        <v>75</v>
      </c>
      <c r="AB21" s="78">
        <f t="shared" si="13"/>
        <v>2850</v>
      </c>
      <c r="AC21" s="74"/>
      <c r="AD21" s="105">
        <f t="shared" si="14"/>
        <v>0</v>
      </c>
    </row>
    <row r="22" spans="1:30" ht="15" customHeight="1" x14ac:dyDescent="0.25">
      <c r="A22" s="42">
        <v>17</v>
      </c>
      <c r="B22" s="43">
        <v>54</v>
      </c>
      <c r="C22" s="51">
        <f t="shared" si="3"/>
        <v>2096.2800000000002</v>
      </c>
      <c r="D22" s="43">
        <v>62</v>
      </c>
      <c r="E22" s="51">
        <f t="shared" si="4"/>
        <v>4813.68</v>
      </c>
      <c r="F22" s="43">
        <v>100</v>
      </c>
      <c r="G22" s="1">
        <f t="shared" si="15"/>
        <v>7764</v>
      </c>
      <c r="H22" s="43">
        <v>14</v>
      </c>
      <c r="I22" s="1">
        <f t="shared" si="16"/>
        <v>588</v>
      </c>
      <c r="J22" s="43"/>
      <c r="K22" s="52">
        <f t="shared" si="5"/>
        <v>0</v>
      </c>
      <c r="L22" s="43">
        <v>4</v>
      </c>
      <c r="M22" s="52">
        <f t="shared" si="6"/>
        <v>112</v>
      </c>
      <c r="N22" s="51">
        <v>295</v>
      </c>
      <c r="O22" s="52">
        <f t="shared" si="7"/>
        <v>11210</v>
      </c>
      <c r="P22" s="43">
        <v>144</v>
      </c>
      <c r="Q22" s="52">
        <f t="shared" si="8"/>
        <v>2075.04</v>
      </c>
      <c r="R22" s="43">
        <v>47</v>
      </c>
      <c r="S22" s="52">
        <f t="shared" si="9"/>
        <v>1316</v>
      </c>
      <c r="T22" s="94">
        <f t="shared" si="2"/>
        <v>29975</v>
      </c>
      <c r="U22" s="92">
        <v>18915.560000000001</v>
      </c>
      <c r="V22" s="44">
        <f t="shared" si="10"/>
        <v>63.104453711426189</v>
      </c>
      <c r="W22" s="45">
        <v>10</v>
      </c>
      <c r="X22" s="1">
        <f t="shared" si="11"/>
        <v>144.1</v>
      </c>
      <c r="Y22" s="43"/>
      <c r="Z22" s="44">
        <f t="shared" si="12"/>
        <v>0</v>
      </c>
      <c r="AA22" s="110">
        <v>75</v>
      </c>
      <c r="AB22" s="78">
        <f t="shared" si="13"/>
        <v>2850</v>
      </c>
      <c r="AC22" s="74">
        <v>8217.4599999999991</v>
      </c>
      <c r="AD22" s="105">
        <f t="shared" si="14"/>
        <v>288.33192982456137</v>
      </c>
    </row>
    <row r="23" spans="1:30" ht="15" customHeight="1" x14ac:dyDescent="0.25">
      <c r="A23" s="42">
        <v>18</v>
      </c>
      <c r="B23" s="43">
        <v>88</v>
      </c>
      <c r="C23" s="51">
        <f t="shared" si="3"/>
        <v>3416.16</v>
      </c>
      <c r="D23" s="43">
        <v>148</v>
      </c>
      <c r="E23" s="51">
        <f t="shared" si="4"/>
        <v>11490.72</v>
      </c>
      <c r="F23" s="43">
        <v>243</v>
      </c>
      <c r="G23" s="1">
        <f t="shared" si="15"/>
        <v>18866.52</v>
      </c>
      <c r="H23" s="43">
        <v>16</v>
      </c>
      <c r="I23" s="1">
        <f t="shared" si="16"/>
        <v>672</v>
      </c>
      <c r="J23" s="43"/>
      <c r="K23" s="52">
        <f t="shared" si="5"/>
        <v>0</v>
      </c>
      <c r="L23" s="43">
        <v>141</v>
      </c>
      <c r="M23" s="52">
        <f t="shared" si="6"/>
        <v>3948</v>
      </c>
      <c r="N23" s="51">
        <v>295</v>
      </c>
      <c r="O23" s="52">
        <f t="shared" si="7"/>
        <v>11210</v>
      </c>
      <c r="P23" s="43">
        <v>144</v>
      </c>
      <c r="Q23" s="52">
        <f t="shared" si="8"/>
        <v>2075.04</v>
      </c>
      <c r="R23" s="43">
        <v>47</v>
      </c>
      <c r="S23" s="52">
        <f t="shared" si="9"/>
        <v>1316</v>
      </c>
      <c r="T23" s="94">
        <f t="shared" si="2"/>
        <v>52994.44</v>
      </c>
      <c r="U23" s="92">
        <v>22178.29</v>
      </c>
      <c r="V23" s="44">
        <f t="shared" si="10"/>
        <v>41.850220513699171</v>
      </c>
      <c r="W23" s="45">
        <v>10</v>
      </c>
      <c r="X23" s="1">
        <f t="shared" si="11"/>
        <v>144.1</v>
      </c>
      <c r="Y23" s="43">
        <v>19.89</v>
      </c>
      <c r="Z23" s="44">
        <f t="shared" si="12"/>
        <v>13.802914642609302</v>
      </c>
      <c r="AA23" s="110">
        <v>75</v>
      </c>
      <c r="AB23" s="78">
        <f t="shared" si="13"/>
        <v>2850</v>
      </c>
      <c r="AC23" s="74"/>
      <c r="AD23" s="105">
        <f t="shared" si="14"/>
        <v>0</v>
      </c>
    </row>
    <row r="24" spans="1:30" ht="15" customHeight="1" x14ac:dyDescent="0.25">
      <c r="A24" s="42">
        <v>19</v>
      </c>
      <c r="B24" s="43">
        <v>107</v>
      </c>
      <c r="C24" s="51">
        <f t="shared" si="3"/>
        <v>4153.74</v>
      </c>
      <c r="D24" s="43">
        <v>159</v>
      </c>
      <c r="E24" s="51">
        <f t="shared" si="4"/>
        <v>12344.76</v>
      </c>
      <c r="F24" s="43">
        <v>202</v>
      </c>
      <c r="G24" s="1">
        <f t="shared" si="15"/>
        <v>15683.28</v>
      </c>
      <c r="H24" s="43">
        <v>5</v>
      </c>
      <c r="I24" s="1">
        <f t="shared" si="16"/>
        <v>210</v>
      </c>
      <c r="J24" s="43"/>
      <c r="K24" s="52">
        <f t="shared" si="5"/>
        <v>0</v>
      </c>
      <c r="L24" s="43">
        <v>4</v>
      </c>
      <c r="M24" s="52">
        <f t="shared" si="6"/>
        <v>112</v>
      </c>
      <c r="N24" s="51">
        <v>295</v>
      </c>
      <c r="O24" s="52">
        <f t="shared" si="7"/>
        <v>11210</v>
      </c>
      <c r="P24" s="43">
        <v>144</v>
      </c>
      <c r="Q24" s="52">
        <f t="shared" si="8"/>
        <v>2075.04</v>
      </c>
      <c r="R24" s="43">
        <v>47</v>
      </c>
      <c r="S24" s="52">
        <f t="shared" si="9"/>
        <v>1316</v>
      </c>
      <c r="T24" s="94">
        <f t="shared" si="2"/>
        <v>47104.82</v>
      </c>
      <c r="U24" s="92">
        <v>20875.61</v>
      </c>
      <c r="V24" s="44">
        <f t="shared" si="10"/>
        <v>44.317354359914759</v>
      </c>
      <c r="W24" s="45">
        <v>10</v>
      </c>
      <c r="X24" s="1">
        <f t="shared" si="11"/>
        <v>144.1</v>
      </c>
      <c r="Y24" s="43">
        <v>78.959999999999994</v>
      </c>
      <c r="Z24" s="44">
        <f t="shared" si="12"/>
        <v>54.795281054823043</v>
      </c>
      <c r="AA24" s="110">
        <v>75</v>
      </c>
      <c r="AB24" s="78">
        <f t="shared" si="13"/>
        <v>2850</v>
      </c>
      <c r="AC24" s="74"/>
      <c r="AD24" s="105">
        <f t="shared" si="14"/>
        <v>0</v>
      </c>
    </row>
    <row r="25" spans="1:30" ht="15" customHeight="1" x14ac:dyDescent="0.25">
      <c r="A25" s="42">
        <v>20</v>
      </c>
      <c r="B25" s="43">
        <v>106</v>
      </c>
      <c r="C25" s="51">
        <f t="shared" si="3"/>
        <v>4114.92</v>
      </c>
      <c r="D25" s="43">
        <v>139</v>
      </c>
      <c r="E25" s="51">
        <f t="shared" si="4"/>
        <v>10791.960000000001</v>
      </c>
      <c r="F25" s="43">
        <v>235</v>
      </c>
      <c r="G25" s="1">
        <f t="shared" si="15"/>
        <v>18245.400000000001</v>
      </c>
      <c r="H25" s="43">
        <v>10</v>
      </c>
      <c r="I25" s="1">
        <f t="shared" si="16"/>
        <v>420</v>
      </c>
      <c r="J25" s="43"/>
      <c r="K25" s="52">
        <f t="shared" si="5"/>
        <v>0</v>
      </c>
      <c r="L25" s="43">
        <v>4</v>
      </c>
      <c r="M25" s="52">
        <f t="shared" si="6"/>
        <v>112</v>
      </c>
      <c r="N25" s="51">
        <v>295</v>
      </c>
      <c r="O25" s="52">
        <f t="shared" si="7"/>
        <v>11210</v>
      </c>
      <c r="P25" s="43">
        <v>144</v>
      </c>
      <c r="Q25" s="52">
        <f t="shared" si="8"/>
        <v>2075.04</v>
      </c>
      <c r="R25" s="43">
        <v>25</v>
      </c>
      <c r="S25" s="52">
        <f t="shared" si="9"/>
        <v>700</v>
      </c>
      <c r="T25" s="94">
        <f t="shared" si="2"/>
        <v>47669.32</v>
      </c>
      <c r="U25" s="92">
        <v>23409.49</v>
      </c>
      <c r="V25" s="44">
        <f t="shared" si="10"/>
        <v>49.108084612912464</v>
      </c>
      <c r="W25" s="45">
        <v>10</v>
      </c>
      <c r="X25" s="1">
        <f t="shared" si="11"/>
        <v>144.1</v>
      </c>
      <c r="Y25" s="43"/>
      <c r="Z25" s="44">
        <f t="shared" si="12"/>
        <v>0</v>
      </c>
      <c r="AA25" s="110">
        <v>75</v>
      </c>
      <c r="AB25" s="78">
        <f t="shared" si="13"/>
        <v>2850</v>
      </c>
      <c r="AC25" s="74"/>
      <c r="AD25" s="105">
        <f t="shared" si="14"/>
        <v>0</v>
      </c>
    </row>
    <row r="26" spans="1:30" ht="15" customHeight="1" x14ac:dyDescent="0.25">
      <c r="A26" s="42">
        <v>21</v>
      </c>
      <c r="B26" s="43">
        <v>93</v>
      </c>
      <c r="C26" s="51">
        <f t="shared" si="3"/>
        <v>3610.26</v>
      </c>
      <c r="D26" s="43">
        <v>85</v>
      </c>
      <c r="E26" s="51">
        <f t="shared" si="4"/>
        <v>6599.4</v>
      </c>
      <c r="F26" s="43">
        <v>85</v>
      </c>
      <c r="G26" s="1">
        <f t="shared" si="15"/>
        <v>6599.4</v>
      </c>
      <c r="H26" s="43">
        <v>10</v>
      </c>
      <c r="I26" s="1">
        <f t="shared" si="16"/>
        <v>420</v>
      </c>
      <c r="J26" s="43"/>
      <c r="K26" s="52">
        <f t="shared" si="5"/>
        <v>0</v>
      </c>
      <c r="L26" s="43">
        <v>4</v>
      </c>
      <c r="M26" s="52">
        <f t="shared" si="6"/>
        <v>112</v>
      </c>
      <c r="N26" s="51">
        <v>295</v>
      </c>
      <c r="O26" s="52">
        <f t="shared" si="7"/>
        <v>11210</v>
      </c>
      <c r="P26" s="43">
        <v>144</v>
      </c>
      <c r="Q26" s="52">
        <f t="shared" si="8"/>
        <v>2075.04</v>
      </c>
      <c r="R26" s="43">
        <v>25</v>
      </c>
      <c r="S26" s="52">
        <f t="shared" si="9"/>
        <v>700</v>
      </c>
      <c r="T26" s="94">
        <f t="shared" si="2"/>
        <v>31326.1</v>
      </c>
      <c r="U26" s="92">
        <v>23636.639999999999</v>
      </c>
      <c r="V26" s="44">
        <f t="shared" si="10"/>
        <v>75.453503627965176</v>
      </c>
      <c r="W26" s="45">
        <v>10</v>
      </c>
      <c r="X26" s="1">
        <f t="shared" si="11"/>
        <v>144.1</v>
      </c>
      <c r="Y26" s="43"/>
      <c r="Z26" s="44">
        <f t="shared" si="12"/>
        <v>0</v>
      </c>
      <c r="AA26" s="110">
        <v>75</v>
      </c>
      <c r="AB26" s="78">
        <f t="shared" si="13"/>
        <v>2850</v>
      </c>
      <c r="AC26" s="74"/>
      <c r="AD26" s="105">
        <f t="shared" si="14"/>
        <v>0</v>
      </c>
    </row>
    <row r="27" spans="1:30" ht="15" customHeight="1" x14ac:dyDescent="0.25">
      <c r="A27" s="42">
        <v>22</v>
      </c>
      <c r="B27" s="43">
        <v>53</v>
      </c>
      <c r="C27" s="51">
        <f t="shared" si="3"/>
        <v>2057.46</v>
      </c>
      <c r="D27" s="43">
        <v>74</v>
      </c>
      <c r="E27" s="51">
        <f t="shared" si="4"/>
        <v>5745.36</v>
      </c>
      <c r="F27" s="43">
        <v>77</v>
      </c>
      <c r="G27" s="1">
        <f t="shared" si="15"/>
        <v>5978.28</v>
      </c>
      <c r="H27" s="43">
        <v>5</v>
      </c>
      <c r="I27" s="1">
        <f t="shared" si="16"/>
        <v>210</v>
      </c>
      <c r="J27" s="43"/>
      <c r="K27" s="52">
        <f t="shared" si="5"/>
        <v>0</v>
      </c>
      <c r="L27" s="43">
        <v>4</v>
      </c>
      <c r="M27" s="52">
        <f t="shared" si="6"/>
        <v>112</v>
      </c>
      <c r="N27" s="51">
        <v>295</v>
      </c>
      <c r="O27" s="52">
        <f t="shared" si="7"/>
        <v>11210</v>
      </c>
      <c r="P27" s="43">
        <v>144</v>
      </c>
      <c r="Q27" s="52">
        <f t="shared" si="8"/>
        <v>2075.04</v>
      </c>
      <c r="R27" s="43">
        <v>6</v>
      </c>
      <c r="S27" s="52">
        <f t="shared" si="9"/>
        <v>168</v>
      </c>
      <c r="T27" s="94">
        <f t="shared" si="2"/>
        <v>27556.14</v>
      </c>
      <c r="U27" s="92">
        <v>22049.97</v>
      </c>
      <c r="V27" s="44">
        <f t="shared" si="10"/>
        <v>80.018355255852242</v>
      </c>
      <c r="W27" s="45"/>
      <c r="X27" s="1">
        <f t="shared" si="11"/>
        <v>0</v>
      </c>
      <c r="Y27" s="43"/>
      <c r="Z27" s="44" t="e">
        <f t="shared" si="12"/>
        <v>#DIV/0!</v>
      </c>
      <c r="AA27" s="110">
        <v>75</v>
      </c>
      <c r="AB27" s="78">
        <f t="shared" si="13"/>
        <v>2850</v>
      </c>
      <c r="AC27" s="74"/>
      <c r="AD27" s="105">
        <f t="shared" si="14"/>
        <v>0</v>
      </c>
    </row>
    <row r="28" spans="1:30" ht="15" customHeight="1" x14ac:dyDescent="0.25">
      <c r="A28" s="42">
        <v>23</v>
      </c>
      <c r="B28" s="43">
        <v>52</v>
      </c>
      <c r="C28" s="51">
        <f t="shared" si="3"/>
        <v>2018.64</v>
      </c>
      <c r="D28" s="43">
        <v>47</v>
      </c>
      <c r="E28" s="51">
        <f t="shared" si="4"/>
        <v>3649.08</v>
      </c>
      <c r="F28" s="43">
        <v>65</v>
      </c>
      <c r="G28" s="1">
        <f t="shared" si="15"/>
        <v>5046.6000000000004</v>
      </c>
      <c r="H28" s="43">
        <v>15</v>
      </c>
      <c r="I28" s="1">
        <f t="shared" si="16"/>
        <v>630</v>
      </c>
      <c r="J28" s="43"/>
      <c r="K28" s="52">
        <f t="shared" si="5"/>
        <v>0</v>
      </c>
      <c r="L28" s="43">
        <v>4</v>
      </c>
      <c r="M28" s="52">
        <f t="shared" si="6"/>
        <v>112</v>
      </c>
      <c r="N28" s="51">
        <v>295</v>
      </c>
      <c r="O28" s="52">
        <f t="shared" si="7"/>
        <v>11210</v>
      </c>
      <c r="P28" s="43">
        <v>144</v>
      </c>
      <c r="Q28" s="52">
        <f t="shared" si="8"/>
        <v>2075.04</v>
      </c>
      <c r="R28" s="43">
        <v>6</v>
      </c>
      <c r="S28" s="52">
        <f t="shared" si="9"/>
        <v>168</v>
      </c>
      <c r="T28" s="94">
        <f t="shared" si="2"/>
        <v>24909.360000000001</v>
      </c>
      <c r="U28" s="92">
        <v>21088.35</v>
      </c>
      <c r="V28" s="44">
        <f t="shared" si="10"/>
        <v>84.660344545183008</v>
      </c>
      <c r="W28" s="45"/>
      <c r="X28" s="1">
        <f t="shared" si="11"/>
        <v>0</v>
      </c>
      <c r="Y28" s="43"/>
      <c r="Z28" s="44" t="e">
        <f t="shared" si="12"/>
        <v>#DIV/0!</v>
      </c>
      <c r="AA28" s="110">
        <v>75</v>
      </c>
      <c r="AB28" s="78">
        <f t="shared" si="13"/>
        <v>2850</v>
      </c>
      <c r="AC28" s="74">
        <v>8946.39</v>
      </c>
      <c r="AD28" s="105">
        <f t="shared" si="14"/>
        <v>313.90842105263152</v>
      </c>
    </row>
    <row r="29" spans="1:30" ht="15.6" customHeight="1" x14ac:dyDescent="0.25">
      <c r="A29" s="42">
        <v>24</v>
      </c>
      <c r="B29" s="43">
        <v>61</v>
      </c>
      <c r="C29" s="51">
        <f t="shared" si="3"/>
        <v>2368.02</v>
      </c>
      <c r="D29" s="43">
        <v>152</v>
      </c>
      <c r="E29" s="51">
        <f t="shared" si="4"/>
        <v>11801.28</v>
      </c>
      <c r="F29" s="43">
        <v>232</v>
      </c>
      <c r="G29" s="1">
        <f t="shared" si="15"/>
        <v>18012.48</v>
      </c>
      <c r="H29" s="43">
        <v>15</v>
      </c>
      <c r="I29" s="1">
        <f t="shared" si="16"/>
        <v>630</v>
      </c>
      <c r="J29" s="43"/>
      <c r="K29" s="52">
        <f t="shared" si="5"/>
        <v>0</v>
      </c>
      <c r="L29" s="43">
        <v>145</v>
      </c>
      <c r="M29" s="52">
        <f t="shared" si="6"/>
        <v>4060</v>
      </c>
      <c r="N29" s="51">
        <v>295</v>
      </c>
      <c r="O29" s="52">
        <f t="shared" si="7"/>
        <v>11210</v>
      </c>
      <c r="P29" s="43">
        <v>144</v>
      </c>
      <c r="Q29" s="52">
        <f t="shared" si="8"/>
        <v>2075.04</v>
      </c>
      <c r="R29" s="43">
        <v>25</v>
      </c>
      <c r="S29" s="52">
        <f t="shared" si="9"/>
        <v>700</v>
      </c>
      <c r="T29" s="94">
        <f t="shared" si="2"/>
        <v>50856.82</v>
      </c>
      <c r="U29" s="92">
        <v>21356.29</v>
      </c>
      <c r="V29" s="44">
        <f t="shared" si="10"/>
        <v>41.992971640775025</v>
      </c>
      <c r="W29" s="45">
        <v>10</v>
      </c>
      <c r="X29" s="1">
        <f t="shared" si="11"/>
        <v>144.1</v>
      </c>
      <c r="Y29" s="43"/>
      <c r="Z29" s="44">
        <f t="shared" si="12"/>
        <v>0</v>
      </c>
      <c r="AA29" s="110">
        <v>75</v>
      </c>
      <c r="AB29" s="78">
        <f t="shared" si="13"/>
        <v>2850</v>
      </c>
      <c r="AC29" s="74"/>
      <c r="AD29" s="105">
        <f t="shared" si="14"/>
        <v>0</v>
      </c>
    </row>
    <row r="30" spans="1:30" ht="15" customHeight="1" x14ac:dyDescent="0.25">
      <c r="A30" s="42">
        <v>25</v>
      </c>
      <c r="B30" s="43">
        <v>95</v>
      </c>
      <c r="C30" s="51">
        <f t="shared" si="3"/>
        <v>3687.9</v>
      </c>
      <c r="D30" s="43">
        <v>160</v>
      </c>
      <c r="E30" s="51">
        <f t="shared" si="4"/>
        <v>12422.4</v>
      </c>
      <c r="F30" s="43">
        <v>196</v>
      </c>
      <c r="G30" s="1">
        <f t="shared" si="15"/>
        <v>15217.44</v>
      </c>
      <c r="H30" s="43">
        <v>33</v>
      </c>
      <c r="I30" s="1">
        <f t="shared" si="16"/>
        <v>1386</v>
      </c>
      <c r="J30" s="43"/>
      <c r="K30" s="52">
        <f t="shared" si="5"/>
        <v>0</v>
      </c>
      <c r="L30" s="43">
        <v>4</v>
      </c>
      <c r="M30" s="52">
        <f t="shared" si="6"/>
        <v>112</v>
      </c>
      <c r="N30" s="51">
        <v>295</v>
      </c>
      <c r="O30" s="52">
        <f t="shared" si="7"/>
        <v>11210</v>
      </c>
      <c r="P30" s="43">
        <v>144</v>
      </c>
      <c r="Q30" s="52">
        <f t="shared" si="8"/>
        <v>2075.04</v>
      </c>
      <c r="R30" s="43">
        <v>25</v>
      </c>
      <c r="S30" s="52">
        <f t="shared" si="9"/>
        <v>700</v>
      </c>
      <c r="T30" s="94">
        <f t="shared" si="2"/>
        <v>46810.78</v>
      </c>
      <c r="U30" s="92">
        <v>25481.54</v>
      </c>
      <c r="V30" s="44">
        <f t="shared" si="10"/>
        <v>54.435196337253942</v>
      </c>
      <c r="W30" s="45">
        <v>10</v>
      </c>
      <c r="X30" s="1">
        <f t="shared" si="11"/>
        <v>144.1</v>
      </c>
      <c r="Y30" s="43"/>
      <c r="Z30" s="44">
        <f t="shared" si="12"/>
        <v>0</v>
      </c>
      <c r="AA30" s="110">
        <v>75</v>
      </c>
      <c r="AB30" s="78">
        <f t="shared" si="13"/>
        <v>2850</v>
      </c>
      <c r="AC30" s="74"/>
      <c r="AD30" s="105">
        <f t="shared" si="14"/>
        <v>0</v>
      </c>
    </row>
    <row r="31" spans="1:30" ht="15" customHeight="1" x14ac:dyDescent="0.25">
      <c r="A31" s="42">
        <v>26</v>
      </c>
      <c r="B31" s="43">
        <v>101</v>
      </c>
      <c r="C31" s="51">
        <f t="shared" si="3"/>
        <v>3920.82</v>
      </c>
      <c r="D31" s="43">
        <v>135</v>
      </c>
      <c r="E31" s="51">
        <f t="shared" si="4"/>
        <v>10481.4</v>
      </c>
      <c r="F31" s="43">
        <v>201</v>
      </c>
      <c r="G31" s="1">
        <f t="shared" si="15"/>
        <v>15605.64</v>
      </c>
      <c r="H31" s="43">
        <v>16</v>
      </c>
      <c r="I31" s="1">
        <f t="shared" si="16"/>
        <v>672</v>
      </c>
      <c r="J31" s="43"/>
      <c r="K31" s="52">
        <f t="shared" si="5"/>
        <v>0</v>
      </c>
      <c r="L31" s="43">
        <v>4</v>
      </c>
      <c r="M31" s="52">
        <f t="shared" si="6"/>
        <v>112</v>
      </c>
      <c r="N31" s="51">
        <v>295</v>
      </c>
      <c r="O31" s="52">
        <f t="shared" si="7"/>
        <v>11210</v>
      </c>
      <c r="P31" s="43">
        <v>144</v>
      </c>
      <c r="Q31" s="52">
        <f t="shared" si="8"/>
        <v>2075.04</v>
      </c>
      <c r="R31" s="43">
        <v>25</v>
      </c>
      <c r="S31" s="52">
        <f t="shared" si="9"/>
        <v>700</v>
      </c>
      <c r="T31" s="94">
        <f t="shared" si="2"/>
        <v>44776.9</v>
      </c>
      <c r="U31" s="92">
        <v>25297.919999999998</v>
      </c>
      <c r="V31" s="44">
        <f t="shared" si="10"/>
        <v>56.497703056710037</v>
      </c>
      <c r="W31" s="45">
        <v>10</v>
      </c>
      <c r="X31" s="1">
        <f t="shared" si="11"/>
        <v>144.1</v>
      </c>
      <c r="Y31" s="43"/>
      <c r="Z31" s="44">
        <f t="shared" si="12"/>
        <v>0</v>
      </c>
      <c r="AA31" s="110">
        <v>75</v>
      </c>
      <c r="AB31" s="78">
        <f t="shared" si="13"/>
        <v>2850</v>
      </c>
      <c r="AC31" s="104"/>
      <c r="AD31" s="105">
        <f t="shared" si="14"/>
        <v>0</v>
      </c>
    </row>
    <row r="32" spans="1:30" ht="15" customHeight="1" x14ac:dyDescent="0.25">
      <c r="A32" s="42">
        <v>27</v>
      </c>
      <c r="B32" s="43">
        <v>81</v>
      </c>
      <c r="C32" s="51">
        <f t="shared" si="3"/>
        <v>3144.42</v>
      </c>
      <c r="D32" s="43">
        <v>141</v>
      </c>
      <c r="E32" s="51">
        <f t="shared" si="4"/>
        <v>10947.24</v>
      </c>
      <c r="F32" s="43">
        <v>197</v>
      </c>
      <c r="G32" s="1">
        <f t="shared" si="15"/>
        <v>15295.08</v>
      </c>
      <c r="H32" s="43">
        <v>8</v>
      </c>
      <c r="I32" s="1">
        <f t="shared" si="16"/>
        <v>336</v>
      </c>
      <c r="J32" s="43"/>
      <c r="K32" s="52">
        <f t="shared" si="5"/>
        <v>0</v>
      </c>
      <c r="L32" s="43">
        <v>4</v>
      </c>
      <c r="M32" s="52">
        <f t="shared" si="6"/>
        <v>112</v>
      </c>
      <c r="N32" s="43">
        <v>295</v>
      </c>
      <c r="O32" s="52">
        <f t="shared" si="7"/>
        <v>11210</v>
      </c>
      <c r="P32" s="43">
        <v>144</v>
      </c>
      <c r="Q32" s="52">
        <f t="shared" si="8"/>
        <v>2075.04</v>
      </c>
      <c r="R32" s="43">
        <v>25</v>
      </c>
      <c r="S32" s="52">
        <f t="shared" si="9"/>
        <v>700</v>
      </c>
      <c r="T32" s="94">
        <f t="shared" si="2"/>
        <v>43819.78</v>
      </c>
      <c r="U32" s="92">
        <v>21311.9</v>
      </c>
      <c r="V32" s="44">
        <f t="shared" si="10"/>
        <v>48.635342304320105</v>
      </c>
      <c r="W32" s="45">
        <v>10</v>
      </c>
      <c r="X32" s="1">
        <f t="shared" si="11"/>
        <v>144.1</v>
      </c>
      <c r="Y32" s="43"/>
      <c r="Z32" s="44">
        <f t="shared" si="12"/>
        <v>0</v>
      </c>
      <c r="AA32" s="110">
        <v>75</v>
      </c>
      <c r="AB32" s="78">
        <f t="shared" si="13"/>
        <v>2850</v>
      </c>
      <c r="AC32" s="74"/>
      <c r="AD32" s="105">
        <f t="shared" si="14"/>
        <v>0</v>
      </c>
    </row>
    <row r="33" spans="1:30" ht="15" customHeight="1" x14ac:dyDescent="0.25">
      <c r="A33" s="42">
        <v>28</v>
      </c>
      <c r="B33" s="43">
        <v>81</v>
      </c>
      <c r="C33" s="51">
        <f t="shared" si="3"/>
        <v>3144.42</v>
      </c>
      <c r="D33" s="43">
        <v>73</v>
      </c>
      <c r="E33" s="51">
        <f t="shared" si="4"/>
        <v>5667.72</v>
      </c>
      <c r="F33" s="43">
        <v>99</v>
      </c>
      <c r="G33" s="1">
        <f t="shared" si="15"/>
        <v>7686.36</v>
      </c>
      <c r="H33" s="43">
        <v>10</v>
      </c>
      <c r="I33" s="1">
        <f t="shared" si="16"/>
        <v>420</v>
      </c>
      <c r="J33" s="43">
        <v>1</v>
      </c>
      <c r="K33" s="52">
        <f t="shared" si="5"/>
        <v>78</v>
      </c>
      <c r="L33" s="43">
        <v>4</v>
      </c>
      <c r="M33" s="52">
        <f t="shared" si="6"/>
        <v>112</v>
      </c>
      <c r="N33" s="43">
        <v>295</v>
      </c>
      <c r="O33" s="52">
        <f t="shared" si="7"/>
        <v>11210</v>
      </c>
      <c r="P33" s="43">
        <v>144</v>
      </c>
      <c r="Q33" s="52">
        <f t="shared" si="8"/>
        <v>2075.04</v>
      </c>
      <c r="R33" s="43">
        <v>25</v>
      </c>
      <c r="S33" s="52">
        <f t="shared" si="9"/>
        <v>700</v>
      </c>
      <c r="T33" s="94">
        <f t="shared" si="2"/>
        <v>31093.54</v>
      </c>
      <c r="U33" s="92">
        <v>20307.810000000001</v>
      </c>
      <c r="V33" s="44">
        <f>+U33/T33*100</f>
        <v>65.311990850832686</v>
      </c>
      <c r="W33" s="45">
        <v>10</v>
      </c>
      <c r="X33" s="1">
        <f t="shared" si="11"/>
        <v>144.1</v>
      </c>
      <c r="Y33" s="43"/>
      <c r="Z33" s="44">
        <f t="shared" si="12"/>
        <v>0</v>
      </c>
      <c r="AA33" s="110">
        <v>75</v>
      </c>
      <c r="AB33" s="78">
        <f t="shared" si="13"/>
        <v>2850</v>
      </c>
      <c r="AC33" s="74"/>
      <c r="AD33" s="105">
        <f t="shared" si="14"/>
        <v>0</v>
      </c>
    </row>
    <row r="34" spans="1:30" ht="15" customHeight="1" x14ac:dyDescent="0.25">
      <c r="A34" s="42">
        <v>29</v>
      </c>
      <c r="B34" s="43">
        <v>62</v>
      </c>
      <c r="C34" s="52">
        <f t="shared" si="3"/>
        <v>2406.84</v>
      </c>
      <c r="D34" s="43">
        <v>71</v>
      </c>
      <c r="E34" s="52">
        <f t="shared" si="4"/>
        <v>5512.44</v>
      </c>
      <c r="F34" s="43">
        <v>100</v>
      </c>
      <c r="G34" s="1">
        <f t="shared" si="15"/>
        <v>7764</v>
      </c>
      <c r="H34" s="43">
        <v>14</v>
      </c>
      <c r="I34" s="1">
        <f t="shared" si="16"/>
        <v>588</v>
      </c>
      <c r="J34" s="43"/>
      <c r="K34" s="52">
        <f t="shared" si="5"/>
        <v>0</v>
      </c>
      <c r="L34" s="43">
        <v>4</v>
      </c>
      <c r="M34" s="52">
        <f t="shared" si="6"/>
        <v>112</v>
      </c>
      <c r="N34" s="43">
        <v>295</v>
      </c>
      <c r="O34" s="52">
        <f t="shared" si="7"/>
        <v>11210</v>
      </c>
      <c r="P34" s="43">
        <v>144</v>
      </c>
      <c r="Q34" s="52">
        <f t="shared" si="8"/>
        <v>2075.04</v>
      </c>
      <c r="R34" s="43">
        <v>25</v>
      </c>
      <c r="S34" s="52">
        <f t="shared" si="9"/>
        <v>700</v>
      </c>
      <c r="T34" s="94">
        <f t="shared" si="2"/>
        <v>30368.32</v>
      </c>
      <c r="U34" s="92">
        <v>25058.66</v>
      </c>
      <c r="V34" s="44">
        <f t="shared" si="10"/>
        <v>82.515792773521881</v>
      </c>
      <c r="W34" s="45"/>
      <c r="X34" s="1">
        <f t="shared" si="11"/>
        <v>0</v>
      </c>
      <c r="Y34" s="43"/>
      <c r="Z34" s="44" t="e">
        <f t="shared" si="12"/>
        <v>#DIV/0!</v>
      </c>
      <c r="AA34" s="110">
        <v>75</v>
      </c>
      <c r="AB34" s="78">
        <f t="shared" si="13"/>
        <v>2850</v>
      </c>
      <c r="AC34" s="74"/>
      <c r="AD34" s="105">
        <f t="shared" si="14"/>
        <v>0</v>
      </c>
    </row>
    <row r="35" spans="1:30" ht="15" customHeight="1" x14ac:dyDescent="0.25">
      <c r="A35" s="42">
        <v>30</v>
      </c>
      <c r="B35" s="43">
        <v>71</v>
      </c>
      <c r="C35" s="52">
        <f t="shared" si="3"/>
        <v>2756.22</v>
      </c>
      <c r="D35" s="43">
        <v>82</v>
      </c>
      <c r="E35" s="52">
        <f t="shared" si="4"/>
        <v>6366.4800000000005</v>
      </c>
      <c r="F35" s="43">
        <v>86</v>
      </c>
      <c r="G35" s="1">
        <f t="shared" si="15"/>
        <v>6677.04</v>
      </c>
      <c r="H35" s="43">
        <v>18</v>
      </c>
      <c r="I35" s="1">
        <f t="shared" si="16"/>
        <v>756</v>
      </c>
      <c r="J35" s="43">
        <v>1</v>
      </c>
      <c r="K35" s="52">
        <f t="shared" si="5"/>
        <v>78</v>
      </c>
      <c r="L35" s="43">
        <v>246</v>
      </c>
      <c r="M35" s="52">
        <f t="shared" si="6"/>
        <v>6888</v>
      </c>
      <c r="N35" s="43">
        <v>295</v>
      </c>
      <c r="O35" s="52">
        <f t="shared" si="7"/>
        <v>11210</v>
      </c>
      <c r="P35" s="43">
        <v>144</v>
      </c>
      <c r="Q35" s="52">
        <f t="shared" si="8"/>
        <v>2075.04</v>
      </c>
      <c r="R35" s="43">
        <v>25</v>
      </c>
      <c r="S35" s="52">
        <f t="shared" si="9"/>
        <v>700</v>
      </c>
      <c r="T35" s="94">
        <f t="shared" si="2"/>
        <v>37506.78</v>
      </c>
      <c r="U35" s="92">
        <v>27833.09</v>
      </c>
      <c r="V35" s="44">
        <f t="shared" si="10"/>
        <v>74.208156498638374</v>
      </c>
      <c r="W35" s="45">
        <v>32</v>
      </c>
      <c r="X35" s="1">
        <f t="shared" si="11"/>
        <v>461.12</v>
      </c>
      <c r="Y35" s="43">
        <v>823.11</v>
      </c>
      <c r="Z35" s="44">
        <f t="shared" si="12"/>
        <v>178.50234212352532</v>
      </c>
      <c r="AA35" s="110">
        <v>75</v>
      </c>
      <c r="AB35" s="78">
        <f t="shared" si="13"/>
        <v>2850</v>
      </c>
      <c r="AC35" s="74">
        <v>7929.77</v>
      </c>
      <c r="AD35" s="105">
        <f t="shared" si="14"/>
        <v>278.23754385964912</v>
      </c>
    </row>
    <row r="36" spans="1:30" ht="15" customHeight="1" x14ac:dyDescent="0.25">
      <c r="A36" s="42">
        <v>31</v>
      </c>
      <c r="B36" s="43"/>
      <c r="C36" s="52">
        <f t="shared" si="3"/>
        <v>0</v>
      </c>
      <c r="D36" s="43"/>
      <c r="E36" s="52">
        <f>+D36*77.64</f>
        <v>0</v>
      </c>
      <c r="F36" s="43"/>
      <c r="G36" s="1">
        <f t="shared" si="15"/>
        <v>0</v>
      </c>
      <c r="H36" s="43"/>
      <c r="I36" s="1">
        <f t="shared" si="16"/>
        <v>0</v>
      </c>
      <c r="J36" s="43"/>
      <c r="K36" s="52">
        <f t="shared" si="5"/>
        <v>0</v>
      </c>
      <c r="L36" s="43"/>
      <c r="M36" s="52">
        <f t="shared" si="6"/>
        <v>0</v>
      </c>
      <c r="N36" s="43"/>
      <c r="O36" s="52">
        <f t="shared" si="7"/>
        <v>0</v>
      </c>
      <c r="P36" s="43"/>
      <c r="Q36" s="52">
        <f t="shared" si="8"/>
        <v>0</v>
      </c>
      <c r="R36" s="43"/>
      <c r="S36" s="52">
        <f t="shared" si="9"/>
        <v>0</v>
      </c>
      <c r="T36" s="94">
        <f t="shared" si="2"/>
        <v>0</v>
      </c>
      <c r="U36" s="92"/>
      <c r="V36" s="44" t="e">
        <f t="shared" si="10"/>
        <v>#DIV/0!</v>
      </c>
      <c r="W36" s="45"/>
      <c r="X36" s="1">
        <f t="shared" si="11"/>
        <v>0</v>
      </c>
      <c r="Y36" s="43"/>
      <c r="Z36" s="44" t="e">
        <f t="shared" si="12"/>
        <v>#DIV/0!</v>
      </c>
      <c r="AA36" s="110">
        <v>75</v>
      </c>
      <c r="AB36" s="78">
        <f t="shared" si="13"/>
        <v>2850</v>
      </c>
      <c r="AC36" s="74"/>
      <c r="AD36" s="105">
        <f t="shared" si="14"/>
        <v>0</v>
      </c>
    </row>
    <row r="37" spans="1:30" ht="36.75" customHeight="1" thickBot="1" x14ac:dyDescent="0.3">
      <c r="A37" s="58" t="s">
        <v>7</v>
      </c>
      <c r="B37" s="59">
        <f t="shared" ref="B37:U37" si="17">SUM(B6:B36)</f>
        <v>2409</v>
      </c>
      <c r="C37" s="60">
        <f t="shared" si="17"/>
        <v>93517.38</v>
      </c>
      <c r="D37" s="59">
        <f t="shared" si="17"/>
        <v>3195</v>
      </c>
      <c r="E37" s="60">
        <f t="shared" si="17"/>
        <v>248059.79999999996</v>
      </c>
      <c r="F37" s="59">
        <f t="shared" si="17"/>
        <v>4258</v>
      </c>
      <c r="G37" s="60">
        <f t="shared" si="17"/>
        <v>330591.12</v>
      </c>
      <c r="H37" s="59">
        <f t="shared" si="17"/>
        <v>357</v>
      </c>
      <c r="I37" s="60">
        <f t="shared" si="17"/>
        <v>14994</v>
      </c>
      <c r="J37" s="59">
        <f t="shared" si="17"/>
        <v>227</v>
      </c>
      <c r="K37" s="60">
        <f t="shared" si="17"/>
        <v>17706</v>
      </c>
      <c r="L37" s="59">
        <f t="shared" si="17"/>
        <v>919</v>
      </c>
      <c r="M37" s="60">
        <f t="shared" si="17"/>
        <v>25732</v>
      </c>
      <c r="N37" s="59">
        <f t="shared" si="17"/>
        <v>8850</v>
      </c>
      <c r="O37" s="60">
        <f t="shared" si="17"/>
        <v>336300</v>
      </c>
      <c r="P37" s="59">
        <f t="shared" si="17"/>
        <v>4320</v>
      </c>
      <c r="Q37" s="60">
        <f t="shared" si="17"/>
        <v>62251.200000000019</v>
      </c>
      <c r="R37" s="59">
        <f t="shared" si="17"/>
        <v>963</v>
      </c>
      <c r="S37" s="60">
        <f t="shared" si="17"/>
        <v>26964</v>
      </c>
      <c r="T37" s="95">
        <f t="shared" si="17"/>
        <v>1156115.5</v>
      </c>
      <c r="U37" s="93">
        <f t="shared" si="17"/>
        <v>620246.13</v>
      </c>
      <c r="V37" s="61">
        <f>+U37/T37*100</f>
        <v>53.649149241576644</v>
      </c>
      <c r="W37" s="59">
        <f>SUM(W6:W36)</f>
        <v>152</v>
      </c>
      <c r="X37" s="60">
        <f>SUM(X6:X36)</f>
        <v>2190.3199999999997</v>
      </c>
      <c r="Y37" s="59">
        <f>SUM(Y6:Y36)</f>
        <v>997.26</v>
      </c>
      <c r="Z37" s="62">
        <f>+Y37/X37*100</f>
        <v>45.530333467255929</v>
      </c>
      <c r="AA37" s="43">
        <f>+SUM(AA6:AA36)</f>
        <v>2325</v>
      </c>
      <c r="AB37" s="78">
        <f>SUM(AB6:AB36)</f>
        <v>88350</v>
      </c>
      <c r="AC37" s="74">
        <f>+SUM(AC6:AC36)</f>
        <v>41396.979999999996</v>
      </c>
      <c r="AD37" s="105">
        <f t="shared" si="14"/>
        <v>46.855664968873796</v>
      </c>
    </row>
    <row r="38" spans="1:30" ht="15.75" thickTop="1" x14ac:dyDescent="0.25"/>
    <row r="41" spans="1:30" ht="15.75" thickBot="1" x14ac:dyDescent="0.3"/>
    <row r="42" spans="1:30" ht="15.75" thickBot="1" x14ac:dyDescent="0.3">
      <c r="F42" s="106" t="s">
        <v>45</v>
      </c>
      <c r="G42" s="107"/>
      <c r="H42" s="107"/>
      <c r="I42" s="108"/>
      <c r="J42" s="106"/>
      <c r="K42" s="108">
        <f>M37+K37+I37+G37+E37+C37</f>
        <v>730600.29999999993</v>
      </c>
    </row>
    <row r="43" spans="1:30" ht="15.75" thickBot="1" x14ac:dyDescent="0.3">
      <c r="F43" s="106" t="s">
        <v>46</v>
      </c>
      <c r="G43" s="107"/>
      <c r="H43" s="107"/>
      <c r="I43" s="108"/>
      <c r="J43" s="106">
        <f>X37</f>
        <v>2190.3199999999997</v>
      </c>
      <c r="K43" s="108"/>
      <c r="P43" s="106" t="s">
        <v>44</v>
      </c>
      <c r="Q43" s="107"/>
      <c r="R43" s="108"/>
      <c r="S43" s="109">
        <f>S37+Q37+O37</f>
        <v>425515.2</v>
      </c>
    </row>
    <row r="44" spans="1:30" ht="15.75" thickBot="1" x14ac:dyDescent="0.3">
      <c r="F44" s="106" t="s">
        <v>47</v>
      </c>
      <c r="G44" s="107"/>
      <c r="H44" s="107"/>
      <c r="I44" s="107"/>
      <c r="J44" s="106"/>
      <c r="K44" s="108">
        <f>AB37</f>
        <v>88350</v>
      </c>
    </row>
    <row r="48" spans="1:30" ht="15.75" thickBot="1" x14ac:dyDescent="0.3"/>
    <row r="49" spans="12:13" ht="15.75" thickBot="1" x14ac:dyDescent="0.3">
      <c r="L49" s="106" t="s">
        <v>48</v>
      </c>
      <c r="M49" s="109">
        <f>S43+K42+K43+K44</f>
        <v>1244465.5</v>
      </c>
    </row>
  </sheetData>
  <sheetProtection algorithmName="SHA-512" hashValue="PDfWdOhQWWLlrvgeFJASMux/R75X5Plgl3AwPaP+Jd6v6/xC6Im8Hr741CAeYZXSMzLN/OBonvsOD2topWNtDQ==" saltValue="cSaMj1BWLqF4VxtKnl1nxg==" spinCount="100000" sheet="1" scenarios="1" sort="0" autoFilter="0"/>
  <mergeCells count="9">
    <mergeCell ref="A1:AD1"/>
    <mergeCell ref="A2:AD2"/>
    <mergeCell ref="A3:AD3"/>
    <mergeCell ref="A4:A5"/>
    <mergeCell ref="B4:M4"/>
    <mergeCell ref="N4:S4"/>
    <mergeCell ref="T4:V4"/>
    <mergeCell ref="W4:Z4"/>
    <mergeCell ref="AA4:AD4"/>
  </mergeCells>
  <pageMargins left="0.11811023622047245" right="0.11811023622047245" top="0.35433070866141736" bottom="0.35433070866141736" header="0.31496062992125984" footer="0.31496062992125984"/>
  <pageSetup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29AE-6414-489C-99AA-3D869816053D}">
  <sheetPr>
    <pageSetUpPr fitToPage="1"/>
  </sheetPr>
  <dimension ref="A1:AK38"/>
  <sheetViews>
    <sheetView zoomScale="85" zoomScaleNormal="85"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AE36" sqref="AE36"/>
    </sheetView>
  </sheetViews>
  <sheetFormatPr defaultRowHeight="15" x14ac:dyDescent="0.25"/>
  <cols>
    <col min="1" max="1" width="12" customWidth="1"/>
    <col min="2" max="2" width="13" bestFit="1" customWidth="1"/>
    <col min="3" max="3" width="5.140625" hidden="1" customWidth="1"/>
    <col min="4" max="4" width="9.140625" customWidth="1"/>
    <col min="5" max="5" width="6.42578125" hidden="1" customWidth="1"/>
    <col min="6" max="6" width="9.140625" customWidth="1"/>
    <col min="7" max="7" width="7.85546875" hidden="1" customWidth="1"/>
    <col min="8" max="8" width="7.7109375" bestFit="1" customWidth="1"/>
    <col min="9" max="9" width="7" hidden="1" customWidth="1"/>
    <col min="10" max="10" width="7.7109375" bestFit="1" customWidth="1"/>
    <col min="11" max="11" width="9.28515625" hidden="1" customWidth="1"/>
    <col min="12" max="12" width="11.85546875" customWidth="1"/>
    <col min="13" max="13" width="9.28515625" hidden="1" customWidth="1"/>
    <col min="14" max="14" width="9" bestFit="1" customWidth="1"/>
    <col min="15" max="15" width="9.28515625" hidden="1" customWidth="1"/>
    <col min="16" max="16" width="13.140625" customWidth="1"/>
    <col min="17" max="17" width="9.28515625" hidden="1" customWidth="1"/>
    <col min="18" max="18" width="9.28515625" customWidth="1"/>
    <col min="19" max="19" width="9.28515625" hidden="1" customWidth="1"/>
    <col min="20" max="20" width="8.140625" customWidth="1"/>
    <col min="21" max="21" width="9.5703125" hidden="1" customWidth="1"/>
    <col min="22" max="22" width="11.7109375" customWidth="1"/>
    <col min="23" max="23" width="9.28515625" hidden="1" customWidth="1"/>
    <col min="24" max="24" width="13.5703125" style="2" bestFit="1" customWidth="1"/>
    <col min="25" max="25" width="14.28515625" style="2" customWidth="1"/>
    <col min="26" max="26" width="10.7109375" style="2" customWidth="1"/>
    <col min="27" max="27" width="9" style="111" customWidth="1"/>
    <col min="28" max="28" width="10.7109375" hidden="1" customWidth="1"/>
    <col min="29" max="29" width="10.7109375" customWidth="1"/>
    <col min="30" max="30" width="10.140625" bestFit="1" customWidth="1"/>
    <col min="31" max="31" width="11.7109375" customWidth="1"/>
    <col min="32" max="32" width="9.28515625" hidden="1" customWidth="1"/>
    <col min="33" max="33" width="12.28515625" customWidth="1"/>
    <col min="34" max="34" width="10.7109375" customWidth="1"/>
    <col min="35" max="35" width="8.85546875" style="2"/>
  </cols>
  <sheetData>
    <row r="1" spans="1:37" ht="48.75" customHeight="1" x14ac:dyDescent="0.25">
      <c r="A1" s="370" t="s">
        <v>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48"/>
      <c r="AJ1" s="138"/>
      <c r="AK1" s="138"/>
    </row>
    <row r="2" spans="1:37" ht="18" customHeight="1" x14ac:dyDescent="0.35">
      <c r="A2" s="371" t="s">
        <v>31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48"/>
      <c r="AJ2" s="138"/>
      <c r="AK2" s="138"/>
    </row>
    <row r="3" spans="1:37" ht="18" customHeight="1" x14ac:dyDescent="0.35">
      <c r="A3" s="371" t="s">
        <v>32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48"/>
      <c r="AJ3" s="138"/>
      <c r="AK3" s="138"/>
    </row>
    <row r="4" spans="1:37" ht="30.75" customHeight="1" x14ac:dyDescent="0.25">
      <c r="A4" s="372">
        <v>45627</v>
      </c>
      <c r="B4" s="377" t="s">
        <v>25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4" t="s">
        <v>37</v>
      </c>
      <c r="S4" s="374"/>
      <c r="T4" s="374"/>
      <c r="U4" s="374"/>
      <c r="V4" s="374"/>
      <c r="W4" s="374"/>
      <c r="X4" s="375" t="s">
        <v>39</v>
      </c>
      <c r="Y4" s="375"/>
      <c r="Z4" s="375"/>
      <c r="AA4" s="376" t="s">
        <v>41</v>
      </c>
      <c r="AB4" s="376"/>
      <c r="AC4" s="376"/>
      <c r="AD4" s="376"/>
      <c r="AE4" s="369" t="s">
        <v>56</v>
      </c>
      <c r="AF4" s="369"/>
      <c r="AG4" s="369"/>
      <c r="AH4" s="369"/>
      <c r="AI4" s="366" t="s">
        <v>57</v>
      </c>
      <c r="AJ4" s="367"/>
      <c r="AK4" s="368"/>
    </row>
    <row r="5" spans="1:37" ht="52.5" customHeight="1" x14ac:dyDescent="0.25">
      <c r="A5" s="373"/>
      <c r="B5" s="127" t="s">
        <v>2</v>
      </c>
      <c r="C5" s="127" t="s">
        <v>14</v>
      </c>
      <c r="D5" s="127" t="s">
        <v>3</v>
      </c>
      <c r="E5" s="127" t="s">
        <v>14</v>
      </c>
      <c r="F5" s="127" t="s">
        <v>4</v>
      </c>
      <c r="G5" s="127" t="s">
        <v>14</v>
      </c>
      <c r="H5" s="128" t="s">
        <v>9</v>
      </c>
      <c r="I5" s="128" t="s">
        <v>14</v>
      </c>
      <c r="J5" s="129" t="s">
        <v>19</v>
      </c>
      <c r="K5" s="129" t="s">
        <v>28</v>
      </c>
      <c r="L5" s="129" t="s">
        <v>38</v>
      </c>
      <c r="M5" s="129" t="s">
        <v>28</v>
      </c>
      <c r="N5" s="129" t="s">
        <v>49</v>
      </c>
      <c r="O5" s="129" t="s">
        <v>28</v>
      </c>
      <c r="P5" s="130" t="s">
        <v>53</v>
      </c>
      <c r="Q5" s="129" t="s">
        <v>28</v>
      </c>
      <c r="R5" s="131" t="s">
        <v>40</v>
      </c>
      <c r="S5" s="131" t="s">
        <v>14</v>
      </c>
      <c r="T5" s="131" t="s">
        <v>35</v>
      </c>
      <c r="U5" s="131" t="s">
        <v>28</v>
      </c>
      <c r="V5" s="131" t="s">
        <v>36</v>
      </c>
      <c r="W5" s="131" t="s">
        <v>28</v>
      </c>
      <c r="X5" s="132" t="s">
        <v>13</v>
      </c>
      <c r="Y5" s="133" t="s">
        <v>0</v>
      </c>
      <c r="Z5" s="134" t="s">
        <v>20</v>
      </c>
      <c r="AA5" s="135" t="s">
        <v>42</v>
      </c>
      <c r="AB5" s="136" t="s">
        <v>14</v>
      </c>
      <c r="AC5" s="137" t="s">
        <v>34</v>
      </c>
      <c r="AD5" s="135" t="s">
        <v>43</v>
      </c>
      <c r="AE5" s="139" t="s">
        <v>50</v>
      </c>
      <c r="AF5" s="139" t="s">
        <v>51</v>
      </c>
      <c r="AG5" s="140" t="s">
        <v>52</v>
      </c>
      <c r="AH5" s="140" t="s">
        <v>39</v>
      </c>
      <c r="AI5" s="140" t="s">
        <v>55</v>
      </c>
      <c r="AJ5" s="141" t="s">
        <v>54</v>
      </c>
      <c r="AK5" s="142" t="s">
        <v>16</v>
      </c>
    </row>
    <row r="6" spans="1:37" ht="28.5" customHeight="1" x14ac:dyDescent="0.25">
      <c r="A6" s="55">
        <v>1</v>
      </c>
      <c r="B6" s="51">
        <v>200</v>
      </c>
      <c r="C6" s="52">
        <f>+B6*38.82</f>
        <v>7764</v>
      </c>
      <c r="D6" s="51">
        <v>200</v>
      </c>
      <c r="E6" s="52">
        <f>+D6*77.64</f>
        <v>15528</v>
      </c>
      <c r="F6" s="51">
        <v>200</v>
      </c>
      <c r="G6" s="52">
        <f t="shared" ref="G6:G7" si="0">77.64*F6</f>
        <v>15528</v>
      </c>
      <c r="H6" s="51">
        <v>15</v>
      </c>
      <c r="I6" s="52">
        <f t="shared" ref="I6:I7" si="1">42*H6</f>
        <v>630</v>
      </c>
      <c r="J6" s="51"/>
      <c r="K6" s="52">
        <f>+J6*78</f>
        <v>0</v>
      </c>
      <c r="L6" s="51">
        <v>292</v>
      </c>
      <c r="M6" s="52">
        <f>+L6*28</f>
        <v>8176</v>
      </c>
      <c r="N6" s="51">
        <v>10</v>
      </c>
      <c r="O6" s="52">
        <f>14.41*N6</f>
        <v>144.1</v>
      </c>
      <c r="P6" s="51">
        <v>135</v>
      </c>
      <c r="Q6" s="52">
        <f>38*P6</f>
        <v>5130</v>
      </c>
      <c r="R6" s="51">
        <v>295</v>
      </c>
      <c r="S6" s="52">
        <f>+R6*38</f>
        <v>11210</v>
      </c>
      <c r="T6" s="51">
        <v>144</v>
      </c>
      <c r="U6" s="52">
        <f>+T6*14.41</f>
        <v>2075.04</v>
      </c>
      <c r="V6" s="51">
        <v>19</v>
      </c>
      <c r="W6" s="52">
        <f>+V6*28</f>
        <v>532</v>
      </c>
      <c r="X6" s="94">
        <f>+W6+U6+K6+I6+G6+E6+C6+S6+M6+O6+Q6</f>
        <v>66717.14</v>
      </c>
      <c r="Y6" s="91">
        <v>21154.43</v>
      </c>
      <c r="Z6" s="53">
        <f>+Y6/X6*100</f>
        <v>31.707639146402261</v>
      </c>
      <c r="AA6" s="123">
        <v>75</v>
      </c>
      <c r="AB6" s="124">
        <f>+AA6*38</f>
        <v>2850</v>
      </c>
      <c r="AC6" s="125"/>
      <c r="AD6" s="126">
        <f>+AC6/AB6*100</f>
        <v>0</v>
      </c>
      <c r="AE6" s="123">
        <v>157</v>
      </c>
      <c r="AF6" s="124">
        <f>20*AE6</f>
        <v>3140</v>
      </c>
      <c r="AG6" s="125">
        <v>748.44</v>
      </c>
      <c r="AH6" s="126">
        <f>+AG6/AF6*100</f>
        <v>23.835668789808921</v>
      </c>
      <c r="AI6" s="51">
        <v>20</v>
      </c>
      <c r="AJ6" s="125">
        <v>1244.92</v>
      </c>
      <c r="AK6" s="124">
        <f>+AJ6/AI6</f>
        <v>62.246000000000002</v>
      </c>
    </row>
    <row r="7" spans="1:37" ht="27" customHeight="1" x14ac:dyDescent="0.25">
      <c r="A7" s="42">
        <v>2</v>
      </c>
      <c r="B7" s="51">
        <v>200</v>
      </c>
      <c r="C7" s="52">
        <f t="shared" ref="C7:C36" si="2">+B7*38.82</f>
        <v>7764</v>
      </c>
      <c r="D7" s="51">
        <v>200</v>
      </c>
      <c r="E7" s="52">
        <f t="shared" ref="E7:E35" si="3">+D7*77.64</f>
        <v>15528</v>
      </c>
      <c r="F7" s="51">
        <v>200</v>
      </c>
      <c r="G7" s="1">
        <f t="shared" si="0"/>
        <v>15528</v>
      </c>
      <c r="H7" s="43">
        <v>16</v>
      </c>
      <c r="I7" s="1">
        <f t="shared" si="1"/>
        <v>672</v>
      </c>
      <c r="J7" s="43"/>
      <c r="K7" s="52">
        <f t="shared" ref="K7:K36" si="4">+J7*78</f>
        <v>0</v>
      </c>
      <c r="L7" s="43">
        <v>2</v>
      </c>
      <c r="M7" s="52">
        <f t="shared" ref="M7:M36" si="5">+L7*28</f>
        <v>56</v>
      </c>
      <c r="N7" s="51">
        <v>10</v>
      </c>
      <c r="O7" s="52">
        <f t="shared" ref="O7:O36" si="6">14.41*N7</f>
        <v>144.1</v>
      </c>
      <c r="P7" s="51">
        <v>120</v>
      </c>
      <c r="Q7" s="52">
        <f t="shared" ref="Q7:Q36" si="7">38*P7</f>
        <v>4560</v>
      </c>
      <c r="R7" s="51">
        <v>295</v>
      </c>
      <c r="S7" s="52">
        <f t="shared" ref="S7:S36" si="8">+R7*38</f>
        <v>11210</v>
      </c>
      <c r="T7" s="51">
        <v>144</v>
      </c>
      <c r="U7" s="52">
        <f t="shared" ref="U7:U36" si="9">+T7*14.41</f>
        <v>2075.04</v>
      </c>
      <c r="V7" s="43">
        <v>19</v>
      </c>
      <c r="W7" s="52">
        <f t="shared" ref="W7:W36" si="10">+V7*28</f>
        <v>532</v>
      </c>
      <c r="X7" s="94">
        <f t="shared" ref="X7:X36" si="11">+W7+U7+K7+I7+G7+E7+C7+S7+M7+O7+Q7</f>
        <v>58069.14</v>
      </c>
      <c r="Y7" s="92">
        <v>20251.099999999999</v>
      </c>
      <c r="Z7" s="44">
        <f t="shared" ref="Z7:Z36" si="12">+Y7/X7*100</f>
        <v>34.874117302236606</v>
      </c>
      <c r="AA7" s="110">
        <v>75</v>
      </c>
      <c r="AB7" s="78">
        <f t="shared" ref="AB7:AB36" si="13">+AA7*38</f>
        <v>2850</v>
      </c>
      <c r="AC7" s="74"/>
      <c r="AD7" s="105">
        <f t="shared" ref="AD7:AD37" si="14">+AC7/AB7*100</f>
        <v>0</v>
      </c>
      <c r="AE7" s="110">
        <v>166</v>
      </c>
      <c r="AF7" s="78">
        <f t="shared" ref="AF7:AF36" si="15">20*AE7</f>
        <v>3320</v>
      </c>
      <c r="AG7" s="74">
        <v>269.94</v>
      </c>
      <c r="AH7" s="105">
        <f t="shared" ref="AH7:AH37" si="16">+AG7/AF7*100</f>
        <v>8.1307228915662648</v>
      </c>
      <c r="AI7" s="43">
        <v>20</v>
      </c>
      <c r="AJ7" s="74">
        <v>1201.55</v>
      </c>
      <c r="AK7" s="78">
        <f t="shared" ref="AK7:AK36" si="17">+AJ7/AI7</f>
        <v>60.077500000000001</v>
      </c>
    </row>
    <row r="8" spans="1:37" ht="26.25" customHeight="1" x14ac:dyDescent="0.25">
      <c r="A8" s="42">
        <v>3</v>
      </c>
      <c r="B8" s="51">
        <v>200</v>
      </c>
      <c r="C8" s="52">
        <f t="shared" si="2"/>
        <v>7764</v>
      </c>
      <c r="D8" s="51">
        <v>200</v>
      </c>
      <c r="E8" s="52">
        <f t="shared" si="3"/>
        <v>15528</v>
      </c>
      <c r="F8" s="51">
        <v>200</v>
      </c>
      <c r="G8" s="1">
        <f>77.64*F8</f>
        <v>15528</v>
      </c>
      <c r="H8" s="43">
        <v>10</v>
      </c>
      <c r="I8" s="1">
        <f>42*H8</f>
        <v>420</v>
      </c>
      <c r="J8" s="43"/>
      <c r="K8" s="52">
        <f t="shared" si="4"/>
        <v>0</v>
      </c>
      <c r="L8" s="43">
        <v>2</v>
      </c>
      <c r="M8" s="52">
        <f t="shared" si="5"/>
        <v>56</v>
      </c>
      <c r="N8" s="51">
        <v>10</v>
      </c>
      <c r="O8" s="52">
        <f t="shared" si="6"/>
        <v>144.1</v>
      </c>
      <c r="P8" s="51">
        <v>120</v>
      </c>
      <c r="Q8" s="52">
        <f t="shared" si="7"/>
        <v>4560</v>
      </c>
      <c r="R8" s="51">
        <v>295</v>
      </c>
      <c r="S8" s="52">
        <f t="shared" si="8"/>
        <v>11210</v>
      </c>
      <c r="T8" s="51">
        <v>144</v>
      </c>
      <c r="U8" s="52">
        <f t="shared" si="9"/>
        <v>2075.04</v>
      </c>
      <c r="V8" s="43"/>
      <c r="W8" s="52">
        <f t="shared" si="10"/>
        <v>0</v>
      </c>
      <c r="X8" s="94">
        <f t="shared" si="11"/>
        <v>57285.14</v>
      </c>
      <c r="Y8" s="92">
        <v>19138.03</v>
      </c>
      <c r="Z8" s="44">
        <f t="shared" si="12"/>
        <v>33.408367335752345</v>
      </c>
      <c r="AA8" s="110">
        <v>75</v>
      </c>
      <c r="AB8" s="78">
        <f t="shared" si="13"/>
        <v>2850</v>
      </c>
      <c r="AC8" s="74"/>
      <c r="AD8" s="105">
        <f t="shared" si="14"/>
        <v>0</v>
      </c>
      <c r="AE8" s="110">
        <v>54</v>
      </c>
      <c r="AF8" s="78">
        <f t="shared" si="15"/>
        <v>1080</v>
      </c>
      <c r="AG8" s="74">
        <v>1348.99</v>
      </c>
      <c r="AH8" s="105">
        <f t="shared" si="16"/>
        <v>124.90648148148149</v>
      </c>
      <c r="AI8" s="43">
        <v>20</v>
      </c>
      <c r="AJ8" s="74">
        <v>1020.84</v>
      </c>
      <c r="AK8" s="78">
        <f t="shared" si="17"/>
        <v>51.042000000000002</v>
      </c>
    </row>
    <row r="9" spans="1:37" ht="29.25" customHeight="1" x14ac:dyDescent="0.25">
      <c r="A9" s="42">
        <v>4</v>
      </c>
      <c r="B9" s="51">
        <v>200</v>
      </c>
      <c r="C9" s="51">
        <f t="shared" si="2"/>
        <v>7764</v>
      </c>
      <c r="D9" s="51">
        <v>200</v>
      </c>
      <c r="E9" s="51">
        <f t="shared" si="3"/>
        <v>15528</v>
      </c>
      <c r="F9" s="51">
        <v>200</v>
      </c>
      <c r="G9" s="1">
        <f t="shared" ref="G9:G36" si="18">77.64*F9</f>
        <v>15528</v>
      </c>
      <c r="H9" s="43">
        <v>15</v>
      </c>
      <c r="I9" s="1">
        <f t="shared" ref="I9:I36" si="19">42*H9</f>
        <v>630</v>
      </c>
      <c r="J9" s="43"/>
      <c r="K9" s="52">
        <f t="shared" si="4"/>
        <v>0</v>
      </c>
      <c r="L9" s="43">
        <v>2</v>
      </c>
      <c r="M9" s="52">
        <f t="shared" si="5"/>
        <v>56</v>
      </c>
      <c r="N9" s="51">
        <v>10</v>
      </c>
      <c r="O9" s="52">
        <f t="shared" si="6"/>
        <v>144.1</v>
      </c>
      <c r="P9" s="51">
        <v>120</v>
      </c>
      <c r="Q9" s="52">
        <f t="shared" si="7"/>
        <v>4560</v>
      </c>
      <c r="R9" s="51">
        <v>295</v>
      </c>
      <c r="S9" s="52">
        <f t="shared" si="8"/>
        <v>11210</v>
      </c>
      <c r="T9" s="51">
        <v>144</v>
      </c>
      <c r="U9" s="52">
        <f t="shared" si="9"/>
        <v>2075.04</v>
      </c>
      <c r="V9" s="43"/>
      <c r="W9" s="52">
        <f t="shared" si="10"/>
        <v>0</v>
      </c>
      <c r="X9" s="94">
        <f t="shared" si="11"/>
        <v>57495.14</v>
      </c>
      <c r="Y9" s="92">
        <v>28345.13</v>
      </c>
      <c r="Z9" s="44">
        <f t="shared" si="12"/>
        <v>49.30004518642793</v>
      </c>
      <c r="AA9" s="110">
        <v>75</v>
      </c>
      <c r="AB9" s="78">
        <f t="shared" si="13"/>
        <v>2850</v>
      </c>
      <c r="AC9" s="74"/>
      <c r="AD9" s="105">
        <f t="shared" si="14"/>
        <v>0</v>
      </c>
      <c r="AE9" s="110">
        <v>53</v>
      </c>
      <c r="AF9" s="78">
        <f t="shared" si="15"/>
        <v>1060</v>
      </c>
      <c r="AG9" s="74"/>
      <c r="AH9" s="105">
        <f t="shared" si="16"/>
        <v>0</v>
      </c>
      <c r="AI9" s="43">
        <v>20</v>
      </c>
      <c r="AJ9" s="74">
        <v>1022.18</v>
      </c>
      <c r="AK9" s="78">
        <f t="shared" si="17"/>
        <v>51.108999999999995</v>
      </c>
    </row>
    <row r="10" spans="1:37" ht="28.5" customHeight="1" x14ac:dyDescent="0.25">
      <c r="A10" s="42">
        <v>5</v>
      </c>
      <c r="B10" s="51">
        <v>200</v>
      </c>
      <c r="C10" s="51">
        <f t="shared" si="2"/>
        <v>7764</v>
      </c>
      <c r="D10" s="51">
        <v>200</v>
      </c>
      <c r="E10" s="51">
        <f t="shared" si="3"/>
        <v>15528</v>
      </c>
      <c r="F10" s="51">
        <v>200</v>
      </c>
      <c r="G10" s="1">
        <f t="shared" si="18"/>
        <v>15528</v>
      </c>
      <c r="H10" s="43">
        <v>15</v>
      </c>
      <c r="I10" s="1">
        <f t="shared" si="19"/>
        <v>630</v>
      </c>
      <c r="J10" s="43"/>
      <c r="K10" s="52">
        <f t="shared" si="4"/>
        <v>0</v>
      </c>
      <c r="L10" s="43">
        <v>2</v>
      </c>
      <c r="M10" s="52">
        <f t="shared" si="5"/>
        <v>56</v>
      </c>
      <c r="N10" s="51">
        <v>10</v>
      </c>
      <c r="O10" s="52">
        <f t="shared" si="6"/>
        <v>144.1</v>
      </c>
      <c r="P10" s="51">
        <v>120</v>
      </c>
      <c r="Q10" s="52">
        <f t="shared" si="7"/>
        <v>4560</v>
      </c>
      <c r="R10" s="51">
        <v>295</v>
      </c>
      <c r="S10" s="52">
        <f t="shared" si="8"/>
        <v>11210</v>
      </c>
      <c r="T10" s="51">
        <v>144</v>
      </c>
      <c r="U10" s="52">
        <f t="shared" si="9"/>
        <v>2075.04</v>
      </c>
      <c r="V10" s="43"/>
      <c r="W10" s="52">
        <f t="shared" si="10"/>
        <v>0</v>
      </c>
      <c r="X10" s="94">
        <f t="shared" si="11"/>
        <v>57495.14</v>
      </c>
      <c r="Y10" s="92">
        <v>22322.43</v>
      </c>
      <c r="Z10" s="44">
        <f t="shared" si="12"/>
        <v>38.82489893928426</v>
      </c>
      <c r="AA10" s="110">
        <v>75</v>
      </c>
      <c r="AB10" s="78">
        <f t="shared" si="13"/>
        <v>2850</v>
      </c>
      <c r="AC10" s="74"/>
      <c r="AD10" s="105">
        <f t="shared" si="14"/>
        <v>0</v>
      </c>
      <c r="AE10" s="110">
        <v>60</v>
      </c>
      <c r="AF10" s="78">
        <f t="shared" si="15"/>
        <v>1200</v>
      </c>
      <c r="AG10" s="74"/>
      <c r="AH10" s="105">
        <f t="shared" si="16"/>
        <v>0</v>
      </c>
      <c r="AI10" s="43">
        <v>20</v>
      </c>
      <c r="AJ10" s="74">
        <v>895.67</v>
      </c>
      <c r="AK10" s="78">
        <f t="shared" si="17"/>
        <v>44.783499999999997</v>
      </c>
    </row>
    <row r="11" spans="1:37" ht="26.25" customHeight="1" x14ac:dyDescent="0.25">
      <c r="A11" s="42">
        <v>6</v>
      </c>
      <c r="B11" s="51">
        <v>200</v>
      </c>
      <c r="C11" s="51">
        <f t="shared" si="2"/>
        <v>7764</v>
      </c>
      <c r="D11" s="51">
        <v>200</v>
      </c>
      <c r="E11" s="51">
        <f t="shared" si="3"/>
        <v>15528</v>
      </c>
      <c r="F11" s="51">
        <v>200</v>
      </c>
      <c r="G11" s="1">
        <f t="shared" si="18"/>
        <v>15528</v>
      </c>
      <c r="H11" s="43">
        <v>21</v>
      </c>
      <c r="I11" s="1">
        <f t="shared" si="19"/>
        <v>882</v>
      </c>
      <c r="J11" s="43"/>
      <c r="K11" s="52">
        <f t="shared" si="4"/>
        <v>0</v>
      </c>
      <c r="L11" s="43">
        <v>2</v>
      </c>
      <c r="M11" s="52">
        <f t="shared" si="5"/>
        <v>56</v>
      </c>
      <c r="N11" s="51">
        <v>5</v>
      </c>
      <c r="O11" s="52">
        <f t="shared" si="6"/>
        <v>72.05</v>
      </c>
      <c r="P11" s="51">
        <v>150</v>
      </c>
      <c r="Q11" s="52">
        <f t="shared" si="7"/>
        <v>5700</v>
      </c>
      <c r="R11" s="51">
        <v>280</v>
      </c>
      <c r="S11" s="52">
        <f t="shared" si="8"/>
        <v>10640</v>
      </c>
      <c r="T11" s="43">
        <v>3</v>
      </c>
      <c r="U11" s="52">
        <f t="shared" si="9"/>
        <v>43.230000000000004</v>
      </c>
      <c r="V11" s="43"/>
      <c r="W11" s="52">
        <f t="shared" si="10"/>
        <v>0</v>
      </c>
      <c r="X11" s="94">
        <f t="shared" si="11"/>
        <v>56213.279999999999</v>
      </c>
      <c r="Y11" s="92">
        <v>26699.73</v>
      </c>
      <c r="Z11" s="44">
        <f t="shared" si="12"/>
        <v>47.497192834148798</v>
      </c>
      <c r="AA11" s="110">
        <v>75</v>
      </c>
      <c r="AB11" s="78">
        <f t="shared" si="13"/>
        <v>2850</v>
      </c>
      <c r="AC11" s="74"/>
      <c r="AD11" s="105">
        <f t="shared" si="14"/>
        <v>0</v>
      </c>
      <c r="AE11" s="110">
        <v>51</v>
      </c>
      <c r="AF11" s="78">
        <f t="shared" si="15"/>
        <v>1020</v>
      </c>
      <c r="AG11" s="74">
        <v>897.77</v>
      </c>
      <c r="AH11" s="105">
        <f t="shared" si="16"/>
        <v>88.016666666666666</v>
      </c>
      <c r="AI11" s="43">
        <v>20</v>
      </c>
      <c r="AJ11" s="74">
        <v>881.97</v>
      </c>
      <c r="AK11" s="78">
        <f t="shared" si="17"/>
        <v>44.098500000000001</v>
      </c>
    </row>
    <row r="12" spans="1:37" ht="33.75" customHeight="1" x14ac:dyDescent="0.25">
      <c r="A12" s="42">
        <v>7</v>
      </c>
      <c r="B12" s="51">
        <v>200</v>
      </c>
      <c r="C12" s="51">
        <f t="shared" si="2"/>
        <v>7764</v>
      </c>
      <c r="D12" s="51">
        <v>200</v>
      </c>
      <c r="E12" s="51">
        <f t="shared" si="3"/>
        <v>15528</v>
      </c>
      <c r="F12" s="51">
        <v>200</v>
      </c>
      <c r="G12" s="1">
        <f t="shared" si="18"/>
        <v>15528</v>
      </c>
      <c r="H12" s="43">
        <v>18</v>
      </c>
      <c r="I12" s="1">
        <f t="shared" si="19"/>
        <v>756</v>
      </c>
      <c r="J12" s="43"/>
      <c r="K12" s="52">
        <f t="shared" si="4"/>
        <v>0</v>
      </c>
      <c r="L12" s="43">
        <v>2</v>
      </c>
      <c r="M12" s="52">
        <f t="shared" si="5"/>
        <v>56</v>
      </c>
      <c r="N12" s="51">
        <v>5</v>
      </c>
      <c r="O12" s="52">
        <f t="shared" si="6"/>
        <v>72.05</v>
      </c>
      <c r="P12" s="51">
        <v>120</v>
      </c>
      <c r="Q12" s="52">
        <f t="shared" si="7"/>
        <v>4560</v>
      </c>
      <c r="R12" s="51">
        <v>280</v>
      </c>
      <c r="S12" s="52">
        <f t="shared" si="8"/>
        <v>10640</v>
      </c>
      <c r="T12" s="43">
        <v>3</v>
      </c>
      <c r="U12" s="52">
        <f t="shared" si="9"/>
        <v>43.230000000000004</v>
      </c>
      <c r="V12" s="43"/>
      <c r="W12" s="52">
        <f t="shared" si="10"/>
        <v>0</v>
      </c>
      <c r="X12" s="94">
        <f t="shared" si="11"/>
        <v>54947.28</v>
      </c>
      <c r="Y12" s="92">
        <v>30534.86</v>
      </c>
      <c r="Z12" s="44">
        <f t="shared" si="12"/>
        <v>55.571194788895831</v>
      </c>
      <c r="AA12" s="110">
        <v>75</v>
      </c>
      <c r="AB12" s="78">
        <f t="shared" si="13"/>
        <v>2850</v>
      </c>
      <c r="AC12" s="74">
        <v>8295.01</v>
      </c>
      <c r="AD12" s="105">
        <f t="shared" si="14"/>
        <v>291.05298245614034</v>
      </c>
      <c r="AE12" s="110">
        <v>50</v>
      </c>
      <c r="AF12" s="78">
        <f t="shared" si="15"/>
        <v>1000</v>
      </c>
      <c r="AG12" s="74"/>
      <c r="AH12" s="105">
        <f t="shared" si="16"/>
        <v>0</v>
      </c>
      <c r="AI12" s="43">
        <v>20</v>
      </c>
      <c r="AJ12" s="74">
        <v>844.79</v>
      </c>
      <c r="AK12" s="78">
        <f t="shared" si="17"/>
        <v>42.2395</v>
      </c>
    </row>
    <row r="13" spans="1:37" ht="30" customHeight="1" x14ac:dyDescent="0.25">
      <c r="A13" s="47">
        <v>8</v>
      </c>
      <c r="B13" s="51">
        <v>200</v>
      </c>
      <c r="C13" s="51">
        <f t="shared" si="2"/>
        <v>7764</v>
      </c>
      <c r="D13" s="51">
        <v>200</v>
      </c>
      <c r="E13" s="51">
        <f t="shared" si="3"/>
        <v>15528</v>
      </c>
      <c r="F13" s="51">
        <v>200</v>
      </c>
      <c r="G13" s="49">
        <f t="shared" si="18"/>
        <v>15528</v>
      </c>
      <c r="H13" s="48">
        <v>17</v>
      </c>
      <c r="I13" s="49">
        <f t="shared" si="19"/>
        <v>714</v>
      </c>
      <c r="J13" s="43"/>
      <c r="K13" s="52">
        <f t="shared" si="4"/>
        <v>0</v>
      </c>
      <c r="L13" s="43">
        <v>145</v>
      </c>
      <c r="M13" s="52">
        <f t="shared" si="5"/>
        <v>4060</v>
      </c>
      <c r="N13" s="51">
        <v>10</v>
      </c>
      <c r="O13" s="52">
        <f t="shared" si="6"/>
        <v>144.1</v>
      </c>
      <c r="P13" s="51">
        <v>120</v>
      </c>
      <c r="Q13" s="52">
        <f t="shared" si="7"/>
        <v>4560</v>
      </c>
      <c r="R13" s="51">
        <v>295</v>
      </c>
      <c r="S13" s="52">
        <f t="shared" si="8"/>
        <v>11210</v>
      </c>
      <c r="T13" s="43">
        <v>144</v>
      </c>
      <c r="U13" s="52">
        <f t="shared" si="9"/>
        <v>2075.04</v>
      </c>
      <c r="V13" s="48">
        <v>14</v>
      </c>
      <c r="W13" s="52">
        <f t="shared" si="10"/>
        <v>392</v>
      </c>
      <c r="X13" s="94">
        <f t="shared" si="11"/>
        <v>61975.14</v>
      </c>
      <c r="Y13" s="92">
        <v>25309.77</v>
      </c>
      <c r="Z13" s="44">
        <f t="shared" si="12"/>
        <v>40.838584632483283</v>
      </c>
      <c r="AA13" s="110">
        <v>75</v>
      </c>
      <c r="AB13" s="78">
        <f t="shared" si="13"/>
        <v>2850</v>
      </c>
      <c r="AC13" s="74"/>
      <c r="AD13" s="105">
        <f t="shared" si="14"/>
        <v>0</v>
      </c>
      <c r="AE13" s="110">
        <v>52</v>
      </c>
      <c r="AF13" s="78">
        <f t="shared" si="15"/>
        <v>1040</v>
      </c>
      <c r="AG13" s="74"/>
      <c r="AH13" s="105">
        <f t="shared" si="16"/>
        <v>0</v>
      </c>
      <c r="AI13" s="43">
        <v>20</v>
      </c>
      <c r="AJ13" s="74">
        <v>960.82</v>
      </c>
      <c r="AK13" s="78">
        <f t="shared" si="17"/>
        <v>48.041000000000004</v>
      </c>
    </row>
    <row r="14" spans="1:37" ht="28.5" customHeight="1" x14ac:dyDescent="0.25">
      <c r="A14" s="42">
        <v>9</v>
      </c>
      <c r="B14" s="51">
        <v>200</v>
      </c>
      <c r="C14" s="51">
        <f t="shared" si="2"/>
        <v>7764</v>
      </c>
      <c r="D14" s="51">
        <v>200</v>
      </c>
      <c r="E14" s="51">
        <f t="shared" si="3"/>
        <v>15528</v>
      </c>
      <c r="F14" s="51">
        <v>200</v>
      </c>
      <c r="G14" s="1">
        <f t="shared" si="18"/>
        <v>15528</v>
      </c>
      <c r="H14" s="43">
        <v>14</v>
      </c>
      <c r="I14" s="1">
        <f t="shared" si="19"/>
        <v>588</v>
      </c>
      <c r="J14" s="43"/>
      <c r="K14" s="52">
        <f t="shared" si="4"/>
        <v>0</v>
      </c>
      <c r="L14" s="43">
        <v>2</v>
      </c>
      <c r="M14" s="52">
        <f t="shared" si="5"/>
        <v>56</v>
      </c>
      <c r="N14" s="51">
        <v>10</v>
      </c>
      <c r="O14" s="52">
        <f t="shared" si="6"/>
        <v>144.1</v>
      </c>
      <c r="P14" s="51">
        <v>40</v>
      </c>
      <c r="Q14" s="52">
        <f t="shared" si="7"/>
        <v>1520</v>
      </c>
      <c r="R14" s="51">
        <v>295</v>
      </c>
      <c r="S14" s="52">
        <f t="shared" si="8"/>
        <v>11210</v>
      </c>
      <c r="T14" s="43">
        <v>144</v>
      </c>
      <c r="U14" s="52">
        <f t="shared" si="9"/>
        <v>2075.04</v>
      </c>
      <c r="V14" s="48">
        <v>14</v>
      </c>
      <c r="W14" s="52">
        <f t="shared" si="10"/>
        <v>392</v>
      </c>
      <c r="X14" s="94">
        <f t="shared" si="11"/>
        <v>54805.14</v>
      </c>
      <c r="Y14" s="92">
        <v>20779.900000000001</v>
      </c>
      <c r="Z14" s="44">
        <f t="shared" si="12"/>
        <v>37.915969195590051</v>
      </c>
      <c r="AA14" s="110">
        <v>75</v>
      </c>
      <c r="AB14" s="78">
        <f t="shared" si="13"/>
        <v>2850</v>
      </c>
      <c r="AC14" s="74"/>
      <c r="AD14" s="105">
        <f t="shared" si="14"/>
        <v>0</v>
      </c>
      <c r="AE14" s="110">
        <v>45</v>
      </c>
      <c r="AF14" s="78">
        <f t="shared" si="15"/>
        <v>900</v>
      </c>
      <c r="AG14" s="74">
        <v>6348.44</v>
      </c>
      <c r="AH14" s="105">
        <f t="shared" si="16"/>
        <v>705.38222222222225</v>
      </c>
      <c r="AI14" s="43">
        <v>20</v>
      </c>
      <c r="AJ14" s="74">
        <v>776.85</v>
      </c>
      <c r="AK14" s="78">
        <f t="shared" si="17"/>
        <v>38.842500000000001</v>
      </c>
    </row>
    <row r="15" spans="1:37" ht="33" customHeight="1" x14ac:dyDescent="0.25">
      <c r="A15" s="42">
        <v>10</v>
      </c>
      <c r="B15" s="51">
        <v>200</v>
      </c>
      <c r="C15" s="51">
        <f t="shared" si="2"/>
        <v>7764</v>
      </c>
      <c r="D15" s="51">
        <v>200</v>
      </c>
      <c r="E15" s="51">
        <f t="shared" si="3"/>
        <v>15528</v>
      </c>
      <c r="F15" s="51">
        <v>200</v>
      </c>
      <c r="G15" s="1">
        <f t="shared" si="18"/>
        <v>15528</v>
      </c>
      <c r="H15" s="43">
        <v>16</v>
      </c>
      <c r="I15" s="1">
        <f t="shared" si="19"/>
        <v>672</v>
      </c>
      <c r="J15" s="43"/>
      <c r="K15" s="52">
        <f t="shared" si="4"/>
        <v>0</v>
      </c>
      <c r="L15" s="43">
        <v>2</v>
      </c>
      <c r="M15" s="52">
        <f t="shared" si="5"/>
        <v>56</v>
      </c>
      <c r="N15" s="51">
        <v>10</v>
      </c>
      <c r="O15" s="52">
        <f t="shared" si="6"/>
        <v>144.1</v>
      </c>
      <c r="P15" s="51"/>
      <c r="Q15" s="52">
        <f t="shared" si="7"/>
        <v>0</v>
      </c>
      <c r="R15" s="51">
        <v>295</v>
      </c>
      <c r="S15" s="52">
        <f t="shared" si="8"/>
        <v>11210</v>
      </c>
      <c r="T15" s="43">
        <v>144</v>
      </c>
      <c r="U15" s="52">
        <f t="shared" si="9"/>
        <v>2075.04</v>
      </c>
      <c r="V15" s="48">
        <v>14</v>
      </c>
      <c r="W15" s="52">
        <f t="shared" si="10"/>
        <v>392</v>
      </c>
      <c r="X15" s="94">
        <f t="shared" si="11"/>
        <v>53369.14</v>
      </c>
      <c r="Y15" s="92">
        <v>27796.799999999999</v>
      </c>
      <c r="Z15" s="44">
        <f t="shared" si="12"/>
        <v>52.084032082960299</v>
      </c>
      <c r="AA15" s="110">
        <v>75</v>
      </c>
      <c r="AB15" s="78">
        <f t="shared" si="13"/>
        <v>2850</v>
      </c>
      <c r="AC15" s="74"/>
      <c r="AD15" s="105">
        <f t="shared" si="14"/>
        <v>0</v>
      </c>
      <c r="AE15" s="110">
        <v>50</v>
      </c>
      <c r="AF15" s="78">
        <f t="shared" si="15"/>
        <v>1000</v>
      </c>
      <c r="AG15" s="74"/>
      <c r="AH15" s="105">
        <f t="shared" si="16"/>
        <v>0</v>
      </c>
      <c r="AI15" s="43">
        <v>20</v>
      </c>
      <c r="AJ15" s="74">
        <v>916.12</v>
      </c>
      <c r="AK15" s="78">
        <f t="shared" si="17"/>
        <v>45.805999999999997</v>
      </c>
    </row>
    <row r="16" spans="1:37" ht="30" customHeight="1" x14ac:dyDescent="0.25">
      <c r="A16" s="42">
        <v>11</v>
      </c>
      <c r="B16" s="51">
        <v>200</v>
      </c>
      <c r="C16" s="51">
        <f t="shared" si="2"/>
        <v>7764</v>
      </c>
      <c r="D16" s="51">
        <v>200</v>
      </c>
      <c r="E16" s="51">
        <f t="shared" si="3"/>
        <v>15528</v>
      </c>
      <c r="F16" s="51">
        <v>200</v>
      </c>
      <c r="G16" s="1">
        <f t="shared" si="18"/>
        <v>15528</v>
      </c>
      <c r="H16" s="43">
        <v>5</v>
      </c>
      <c r="I16" s="1">
        <f t="shared" si="19"/>
        <v>210</v>
      </c>
      <c r="J16" s="43"/>
      <c r="K16" s="52">
        <f t="shared" si="4"/>
        <v>0</v>
      </c>
      <c r="L16" s="43">
        <v>11</v>
      </c>
      <c r="M16" s="52">
        <f t="shared" si="5"/>
        <v>308</v>
      </c>
      <c r="N16" s="51">
        <v>10</v>
      </c>
      <c r="O16" s="52">
        <f t="shared" si="6"/>
        <v>144.1</v>
      </c>
      <c r="P16" s="51"/>
      <c r="Q16" s="52">
        <f t="shared" si="7"/>
        <v>0</v>
      </c>
      <c r="R16" s="51">
        <v>277</v>
      </c>
      <c r="S16" s="52">
        <f t="shared" si="8"/>
        <v>10526</v>
      </c>
      <c r="T16" s="43">
        <v>144</v>
      </c>
      <c r="U16" s="52">
        <f t="shared" si="9"/>
        <v>2075.04</v>
      </c>
      <c r="V16" s="43">
        <v>14</v>
      </c>
      <c r="W16" s="52">
        <f t="shared" si="10"/>
        <v>392</v>
      </c>
      <c r="X16" s="94">
        <f t="shared" si="11"/>
        <v>52475.14</v>
      </c>
      <c r="Y16" s="92">
        <v>29447.61</v>
      </c>
      <c r="Z16" s="44">
        <f t="shared" si="12"/>
        <v>56.11725857234493</v>
      </c>
      <c r="AA16" s="110">
        <v>75</v>
      </c>
      <c r="AB16" s="78">
        <f t="shared" si="13"/>
        <v>2850</v>
      </c>
      <c r="AC16" s="74"/>
      <c r="AD16" s="105">
        <f t="shared" si="14"/>
        <v>0</v>
      </c>
      <c r="AE16" s="110">
        <v>48</v>
      </c>
      <c r="AF16" s="78">
        <f t="shared" si="15"/>
        <v>960</v>
      </c>
      <c r="AG16" s="74">
        <v>832.59</v>
      </c>
      <c r="AH16" s="105">
        <f t="shared" si="16"/>
        <v>86.728125000000006</v>
      </c>
      <c r="AI16" s="43">
        <v>20</v>
      </c>
      <c r="AJ16" s="74">
        <v>782.65</v>
      </c>
      <c r="AK16" s="78">
        <f t="shared" si="17"/>
        <v>39.1325</v>
      </c>
    </row>
    <row r="17" spans="1:37" ht="32.25" customHeight="1" x14ac:dyDescent="0.25">
      <c r="A17" s="42">
        <v>12</v>
      </c>
      <c r="B17" s="51">
        <v>200</v>
      </c>
      <c r="C17" s="51">
        <f t="shared" si="2"/>
        <v>7764</v>
      </c>
      <c r="D17" s="51">
        <v>200</v>
      </c>
      <c r="E17" s="51">
        <f t="shared" si="3"/>
        <v>15528</v>
      </c>
      <c r="F17" s="51">
        <v>200</v>
      </c>
      <c r="G17" s="1">
        <f t="shared" si="18"/>
        <v>15528</v>
      </c>
      <c r="H17" s="43">
        <v>18</v>
      </c>
      <c r="I17" s="1">
        <f t="shared" si="19"/>
        <v>756</v>
      </c>
      <c r="J17" s="43"/>
      <c r="K17" s="52">
        <f t="shared" si="4"/>
        <v>0</v>
      </c>
      <c r="L17" s="43">
        <v>2</v>
      </c>
      <c r="M17" s="52">
        <f t="shared" si="5"/>
        <v>56</v>
      </c>
      <c r="N17" s="51">
        <v>10</v>
      </c>
      <c r="O17" s="52">
        <f t="shared" si="6"/>
        <v>144.1</v>
      </c>
      <c r="P17" s="51"/>
      <c r="Q17" s="52">
        <f t="shared" si="7"/>
        <v>0</v>
      </c>
      <c r="R17" s="51">
        <v>277</v>
      </c>
      <c r="S17" s="52">
        <f t="shared" si="8"/>
        <v>10526</v>
      </c>
      <c r="T17" s="43">
        <v>144</v>
      </c>
      <c r="U17" s="52">
        <f t="shared" si="9"/>
        <v>2075.04</v>
      </c>
      <c r="V17" s="43">
        <v>14</v>
      </c>
      <c r="W17" s="52">
        <f t="shared" si="10"/>
        <v>392</v>
      </c>
      <c r="X17" s="94">
        <f t="shared" si="11"/>
        <v>52769.14</v>
      </c>
      <c r="Y17" s="92">
        <v>25182.58</v>
      </c>
      <c r="Z17" s="44">
        <f t="shared" si="12"/>
        <v>47.72217246671066</v>
      </c>
      <c r="AA17" s="110">
        <v>75</v>
      </c>
      <c r="AB17" s="78">
        <f t="shared" si="13"/>
        <v>2850</v>
      </c>
      <c r="AC17" s="104"/>
      <c r="AD17" s="105">
        <f t="shared" si="14"/>
        <v>0</v>
      </c>
      <c r="AE17" s="110">
        <v>48</v>
      </c>
      <c r="AF17" s="78">
        <f t="shared" si="15"/>
        <v>960</v>
      </c>
      <c r="AG17" s="74">
        <v>896.02</v>
      </c>
      <c r="AH17" s="105">
        <f t="shared" si="16"/>
        <v>93.33541666666666</v>
      </c>
      <c r="AI17" s="43">
        <v>20</v>
      </c>
      <c r="AJ17" s="74">
        <v>873.77</v>
      </c>
      <c r="AK17" s="78">
        <f t="shared" si="17"/>
        <v>43.688499999999998</v>
      </c>
    </row>
    <row r="18" spans="1:37" ht="29.25" customHeight="1" x14ac:dyDescent="0.25">
      <c r="A18" s="42">
        <v>13</v>
      </c>
      <c r="B18" s="51">
        <v>200</v>
      </c>
      <c r="C18" s="51">
        <f t="shared" si="2"/>
        <v>7764</v>
      </c>
      <c r="D18" s="51">
        <v>200</v>
      </c>
      <c r="E18" s="51">
        <f t="shared" si="3"/>
        <v>15528</v>
      </c>
      <c r="F18" s="51">
        <v>200</v>
      </c>
      <c r="G18" s="1">
        <f t="shared" si="18"/>
        <v>15528</v>
      </c>
      <c r="H18" s="43">
        <v>11</v>
      </c>
      <c r="I18" s="1">
        <f t="shared" si="19"/>
        <v>462</v>
      </c>
      <c r="J18" s="43"/>
      <c r="K18" s="52">
        <f t="shared" si="4"/>
        <v>0</v>
      </c>
      <c r="L18" s="43">
        <v>2</v>
      </c>
      <c r="M18" s="52">
        <f t="shared" si="5"/>
        <v>56</v>
      </c>
      <c r="N18" s="51"/>
      <c r="O18" s="52">
        <f t="shared" si="6"/>
        <v>0</v>
      </c>
      <c r="P18" s="51"/>
      <c r="Q18" s="52">
        <f t="shared" si="7"/>
        <v>0</v>
      </c>
      <c r="R18" s="51">
        <v>262</v>
      </c>
      <c r="S18" s="52">
        <f t="shared" si="8"/>
        <v>9956</v>
      </c>
      <c r="T18" s="43">
        <v>4</v>
      </c>
      <c r="U18" s="52">
        <f t="shared" si="9"/>
        <v>57.64</v>
      </c>
      <c r="V18" s="43"/>
      <c r="W18" s="52">
        <f t="shared" si="10"/>
        <v>0</v>
      </c>
      <c r="X18" s="94">
        <f t="shared" si="11"/>
        <v>49351.64</v>
      </c>
      <c r="Y18" s="92">
        <v>17515.86</v>
      </c>
      <c r="Z18" s="44">
        <f t="shared" si="12"/>
        <v>35.491951229989525</v>
      </c>
      <c r="AA18" s="110">
        <v>75</v>
      </c>
      <c r="AB18" s="78">
        <f t="shared" si="13"/>
        <v>2850</v>
      </c>
      <c r="AC18" s="74"/>
      <c r="AD18" s="105">
        <f t="shared" si="14"/>
        <v>0</v>
      </c>
      <c r="AE18" s="110">
        <v>46</v>
      </c>
      <c r="AF18" s="78">
        <f t="shared" si="15"/>
        <v>920</v>
      </c>
      <c r="AG18" s="74"/>
      <c r="AH18" s="105">
        <f t="shared" si="16"/>
        <v>0</v>
      </c>
      <c r="AI18" s="43">
        <v>20</v>
      </c>
      <c r="AJ18" s="74">
        <v>869.82</v>
      </c>
      <c r="AK18" s="78">
        <f t="shared" si="17"/>
        <v>43.491</v>
      </c>
    </row>
    <row r="19" spans="1:37" ht="27.75" customHeight="1" x14ac:dyDescent="0.25">
      <c r="A19" s="42">
        <v>14</v>
      </c>
      <c r="B19" s="51">
        <v>200</v>
      </c>
      <c r="C19" s="51">
        <f t="shared" si="2"/>
        <v>7764</v>
      </c>
      <c r="D19" s="51">
        <v>200</v>
      </c>
      <c r="E19" s="51">
        <f t="shared" si="3"/>
        <v>15528</v>
      </c>
      <c r="F19" s="51">
        <v>200</v>
      </c>
      <c r="G19" s="1">
        <f t="shared" si="18"/>
        <v>15528</v>
      </c>
      <c r="H19" s="43">
        <v>15</v>
      </c>
      <c r="I19" s="1">
        <f t="shared" si="19"/>
        <v>630</v>
      </c>
      <c r="J19" s="43"/>
      <c r="K19" s="52">
        <f t="shared" si="4"/>
        <v>0</v>
      </c>
      <c r="L19" s="43">
        <v>2</v>
      </c>
      <c r="M19" s="52">
        <f t="shared" si="5"/>
        <v>56</v>
      </c>
      <c r="N19" s="51"/>
      <c r="O19" s="52">
        <f t="shared" si="6"/>
        <v>0</v>
      </c>
      <c r="P19" s="51"/>
      <c r="Q19" s="52">
        <f t="shared" si="7"/>
        <v>0</v>
      </c>
      <c r="R19" s="51">
        <v>262</v>
      </c>
      <c r="S19" s="52">
        <f t="shared" si="8"/>
        <v>9956</v>
      </c>
      <c r="T19" s="43">
        <v>4</v>
      </c>
      <c r="U19" s="52">
        <f t="shared" si="9"/>
        <v>57.64</v>
      </c>
      <c r="V19" s="43"/>
      <c r="W19" s="52">
        <f t="shared" si="10"/>
        <v>0</v>
      </c>
      <c r="X19" s="94">
        <f t="shared" si="11"/>
        <v>49519.64</v>
      </c>
      <c r="Y19" s="92">
        <v>17271.11</v>
      </c>
      <c r="Z19" s="44">
        <f t="shared" si="12"/>
        <v>34.877293130563956</v>
      </c>
      <c r="AA19" s="110">
        <v>75</v>
      </c>
      <c r="AB19" s="78">
        <f t="shared" si="13"/>
        <v>2850</v>
      </c>
      <c r="AC19" s="74">
        <v>9641.58</v>
      </c>
      <c r="AD19" s="105">
        <f t="shared" si="14"/>
        <v>338.3010526315789</v>
      </c>
      <c r="AE19" s="110">
        <v>47</v>
      </c>
      <c r="AF19" s="78">
        <f t="shared" si="15"/>
        <v>940</v>
      </c>
      <c r="AG19" s="74">
        <v>3773.23</v>
      </c>
      <c r="AH19" s="105">
        <f t="shared" si="16"/>
        <v>401.40744680851066</v>
      </c>
      <c r="AI19" s="43">
        <v>20</v>
      </c>
      <c r="AJ19" s="74">
        <v>811.82</v>
      </c>
      <c r="AK19" s="78">
        <f t="shared" si="17"/>
        <v>40.591000000000001</v>
      </c>
    </row>
    <row r="20" spans="1:37" ht="27.75" customHeight="1" x14ac:dyDescent="0.25">
      <c r="A20" s="42">
        <v>15</v>
      </c>
      <c r="B20" s="51">
        <v>200</v>
      </c>
      <c r="C20" s="51">
        <f t="shared" si="2"/>
        <v>7764</v>
      </c>
      <c r="D20" s="51">
        <v>200</v>
      </c>
      <c r="E20" s="51">
        <f t="shared" si="3"/>
        <v>15528</v>
      </c>
      <c r="F20" s="51">
        <v>200</v>
      </c>
      <c r="G20" s="49">
        <f t="shared" si="18"/>
        <v>15528</v>
      </c>
      <c r="H20" s="48">
        <v>21</v>
      </c>
      <c r="I20" s="49">
        <f t="shared" si="19"/>
        <v>882</v>
      </c>
      <c r="J20" s="43"/>
      <c r="K20" s="52">
        <f t="shared" si="4"/>
        <v>0</v>
      </c>
      <c r="L20" s="43">
        <v>144</v>
      </c>
      <c r="M20" s="52">
        <f t="shared" si="5"/>
        <v>4032</v>
      </c>
      <c r="N20" s="51">
        <v>12</v>
      </c>
      <c r="O20" s="52">
        <f t="shared" si="6"/>
        <v>172.92000000000002</v>
      </c>
      <c r="P20" s="51"/>
      <c r="Q20" s="52">
        <f t="shared" si="7"/>
        <v>0</v>
      </c>
      <c r="R20" s="51">
        <v>277</v>
      </c>
      <c r="S20" s="52">
        <f t="shared" si="8"/>
        <v>10526</v>
      </c>
      <c r="T20" s="43">
        <v>144</v>
      </c>
      <c r="U20" s="52">
        <f t="shared" si="9"/>
        <v>2075.04</v>
      </c>
      <c r="V20" s="43">
        <v>17</v>
      </c>
      <c r="W20" s="52">
        <f t="shared" si="10"/>
        <v>476</v>
      </c>
      <c r="X20" s="94">
        <f t="shared" si="11"/>
        <v>56983.96</v>
      </c>
      <c r="Y20" s="92">
        <v>32581.16</v>
      </c>
      <c r="Z20" s="44">
        <f t="shared" si="12"/>
        <v>57.176019357026085</v>
      </c>
      <c r="AA20" s="110">
        <v>75</v>
      </c>
      <c r="AB20" s="78">
        <f t="shared" si="13"/>
        <v>2850</v>
      </c>
      <c r="AC20" s="74"/>
      <c r="AD20" s="105">
        <f t="shared" si="14"/>
        <v>0</v>
      </c>
      <c r="AE20" s="110">
        <v>50</v>
      </c>
      <c r="AF20" s="78">
        <f t="shared" si="15"/>
        <v>1000</v>
      </c>
      <c r="AG20" s="74"/>
      <c r="AH20" s="105">
        <f t="shared" si="16"/>
        <v>0</v>
      </c>
      <c r="AI20" s="43">
        <v>20</v>
      </c>
      <c r="AJ20" s="74">
        <v>935.98</v>
      </c>
      <c r="AK20" s="78">
        <f t="shared" si="17"/>
        <v>46.798999999999999</v>
      </c>
    </row>
    <row r="21" spans="1:37" ht="29.25" customHeight="1" x14ac:dyDescent="0.25">
      <c r="A21" s="42">
        <v>16</v>
      </c>
      <c r="B21" s="51">
        <v>200</v>
      </c>
      <c r="C21" s="51">
        <f t="shared" si="2"/>
        <v>7764</v>
      </c>
      <c r="D21" s="51">
        <v>200</v>
      </c>
      <c r="E21" s="51">
        <f t="shared" si="3"/>
        <v>15528</v>
      </c>
      <c r="F21" s="51">
        <v>200</v>
      </c>
      <c r="G21" s="1">
        <f t="shared" si="18"/>
        <v>15528</v>
      </c>
      <c r="H21" s="43">
        <v>8</v>
      </c>
      <c r="I21" s="1">
        <f t="shared" si="19"/>
        <v>336</v>
      </c>
      <c r="J21" s="43"/>
      <c r="K21" s="52">
        <f t="shared" si="4"/>
        <v>0</v>
      </c>
      <c r="L21" s="43">
        <v>2</v>
      </c>
      <c r="M21" s="52">
        <f t="shared" si="5"/>
        <v>56</v>
      </c>
      <c r="N21" s="51">
        <v>35</v>
      </c>
      <c r="O21" s="52">
        <f t="shared" si="6"/>
        <v>504.35</v>
      </c>
      <c r="P21" s="51"/>
      <c r="Q21" s="52">
        <f t="shared" si="7"/>
        <v>0</v>
      </c>
      <c r="R21" s="51">
        <v>277</v>
      </c>
      <c r="S21" s="52">
        <f t="shared" si="8"/>
        <v>10526</v>
      </c>
      <c r="T21" s="43">
        <v>144</v>
      </c>
      <c r="U21" s="52">
        <f t="shared" si="9"/>
        <v>2075.04</v>
      </c>
      <c r="V21" s="43">
        <v>15</v>
      </c>
      <c r="W21" s="52">
        <f t="shared" si="10"/>
        <v>420</v>
      </c>
      <c r="X21" s="94">
        <f t="shared" si="11"/>
        <v>52737.39</v>
      </c>
      <c r="Y21" s="92">
        <v>32527.52</v>
      </c>
      <c r="Z21" s="44">
        <f t="shared" si="12"/>
        <v>61.678289350307246</v>
      </c>
      <c r="AA21" s="110">
        <v>75</v>
      </c>
      <c r="AB21" s="78">
        <f t="shared" si="13"/>
        <v>2850</v>
      </c>
      <c r="AC21" s="74"/>
      <c r="AD21" s="105">
        <f t="shared" si="14"/>
        <v>0</v>
      </c>
      <c r="AE21" s="110">
        <v>51</v>
      </c>
      <c r="AF21" s="78">
        <f t="shared" si="15"/>
        <v>1020</v>
      </c>
      <c r="AG21" s="74"/>
      <c r="AH21" s="105">
        <f t="shared" si="16"/>
        <v>0</v>
      </c>
      <c r="AI21" s="43">
        <v>20</v>
      </c>
      <c r="AJ21" s="74">
        <v>1104.4000000000001</v>
      </c>
      <c r="AK21" s="78">
        <f t="shared" si="17"/>
        <v>55.220000000000006</v>
      </c>
    </row>
    <row r="22" spans="1:37" ht="28.5" customHeight="1" x14ac:dyDescent="0.25">
      <c r="A22" s="42">
        <v>17</v>
      </c>
      <c r="B22" s="51">
        <v>200</v>
      </c>
      <c r="C22" s="51">
        <f t="shared" si="2"/>
        <v>7764</v>
      </c>
      <c r="D22" s="51">
        <v>200</v>
      </c>
      <c r="E22" s="51">
        <f t="shared" si="3"/>
        <v>15528</v>
      </c>
      <c r="F22" s="51">
        <v>200</v>
      </c>
      <c r="G22" s="1">
        <f t="shared" si="18"/>
        <v>15528</v>
      </c>
      <c r="H22" s="43">
        <v>15</v>
      </c>
      <c r="I22" s="1">
        <f t="shared" si="19"/>
        <v>630</v>
      </c>
      <c r="J22" s="43"/>
      <c r="K22" s="52">
        <f t="shared" si="4"/>
        <v>0</v>
      </c>
      <c r="L22" s="43">
        <v>2</v>
      </c>
      <c r="M22" s="52">
        <f t="shared" si="5"/>
        <v>56</v>
      </c>
      <c r="N22" s="51">
        <v>10</v>
      </c>
      <c r="O22" s="52">
        <f t="shared" si="6"/>
        <v>144.1</v>
      </c>
      <c r="P22" s="51"/>
      <c r="Q22" s="52">
        <f t="shared" si="7"/>
        <v>0</v>
      </c>
      <c r="R22" s="51">
        <v>277</v>
      </c>
      <c r="S22" s="52">
        <f t="shared" si="8"/>
        <v>10526</v>
      </c>
      <c r="T22" s="43">
        <v>144</v>
      </c>
      <c r="U22" s="52">
        <f t="shared" si="9"/>
        <v>2075.04</v>
      </c>
      <c r="V22" s="43">
        <v>15</v>
      </c>
      <c r="W22" s="52">
        <f t="shared" si="10"/>
        <v>420</v>
      </c>
      <c r="X22" s="94">
        <f t="shared" si="11"/>
        <v>52671.14</v>
      </c>
      <c r="Y22" s="92">
        <v>36660.6</v>
      </c>
      <c r="Z22" s="44">
        <f t="shared" si="12"/>
        <v>69.602822342557985</v>
      </c>
      <c r="AA22" s="110">
        <v>75</v>
      </c>
      <c r="AB22" s="78">
        <f t="shared" si="13"/>
        <v>2850</v>
      </c>
      <c r="AC22" s="74"/>
      <c r="AD22" s="105">
        <f t="shared" si="14"/>
        <v>0</v>
      </c>
      <c r="AE22" s="110">
        <v>54</v>
      </c>
      <c r="AF22" s="78">
        <f t="shared" si="15"/>
        <v>1080</v>
      </c>
      <c r="AG22" s="74">
        <v>3215.76</v>
      </c>
      <c r="AH22" s="105">
        <f t="shared" si="16"/>
        <v>297.75555555555559</v>
      </c>
      <c r="AI22" s="43">
        <v>20</v>
      </c>
      <c r="AJ22" s="74">
        <v>1321.96</v>
      </c>
      <c r="AK22" s="78">
        <f t="shared" si="17"/>
        <v>66.097999999999999</v>
      </c>
    </row>
    <row r="23" spans="1:37" ht="30" customHeight="1" x14ac:dyDescent="0.25">
      <c r="A23" s="42">
        <v>18</v>
      </c>
      <c r="B23" s="51">
        <v>200</v>
      </c>
      <c r="C23" s="51">
        <f t="shared" si="2"/>
        <v>7764</v>
      </c>
      <c r="D23" s="51">
        <v>200</v>
      </c>
      <c r="E23" s="51">
        <f t="shared" si="3"/>
        <v>15528</v>
      </c>
      <c r="F23" s="51">
        <v>200</v>
      </c>
      <c r="G23" s="1">
        <f t="shared" si="18"/>
        <v>15528</v>
      </c>
      <c r="H23" s="43">
        <v>2</v>
      </c>
      <c r="I23" s="1">
        <f t="shared" si="19"/>
        <v>84</v>
      </c>
      <c r="J23" s="43"/>
      <c r="K23" s="52">
        <f t="shared" si="4"/>
        <v>0</v>
      </c>
      <c r="L23" s="43">
        <v>2</v>
      </c>
      <c r="M23" s="52">
        <f t="shared" si="5"/>
        <v>56</v>
      </c>
      <c r="N23" s="51">
        <v>10</v>
      </c>
      <c r="O23" s="52">
        <f t="shared" si="6"/>
        <v>144.1</v>
      </c>
      <c r="P23" s="51"/>
      <c r="Q23" s="52">
        <f t="shared" si="7"/>
        <v>0</v>
      </c>
      <c r="R23" s="51">
        <v>277</v>
      </c>
      <c r="S23" s="52">
        <f t="shared" si="8"/>
        <v>10526</v>
      </c>
      <c r="T23" s="43">
        <v>144</v>
      </c>
      <c r="U23" s="52">
        <f t="shared" si="9"/>
        <v>2075.04</v>
      </c>
      <c r="V23" s="43">
        <v>15</v>
      </c>
      <c r="W23" s="52">
        <f t="shared" si="10"/>
        <v>420</v>
      </c>
      <c r="X23" s="94">
        <f t="shared" si="11"/>
        <v>52125.14</v>
      </c>
      <c r="Y23" s="92">
        <v>32609.95</v>
      </c>
      <c r="Z23" s="44">
        <f t="shared" si="12"/>
        <v>62.5608871266341</v>
      </c>
      <c r="AA23" s="110">
        <v>75</v>
      </c>
      <c r="AB23" s="78">
        <f t="shared" si="13"/>
        <v>2850</v>
      </c>
      <c r="AC23" s="74"/>
      <c r="AD23" s="105">
        <f t="shared" si="14"/>
        <v>0</v>
      </c>
      <c r="AE23" s="110">
        <v>50</v>
      </c>
      <c r="AF23" s="78">
        <f t="shared" si="15"/>
        <v>1000</v>
      </c>
      <c r="AG23" s="74">
        <v>4200.91</v>
      </c>
      <c r="AH23" s="105">
        <f t="shared" si="16"/>
        <v>420.09099999999995</v>
      </c>
      <c r="AI23" s="43">
        <v>10</v>
      </c>
      <c r="AJ23" s="74">
        <v>911.87</v>
      </c>
      <c r="AK23" s="78">
        <f t="shared" si="17"/>
        <v>91.186999999999998</v>
      </c>
    </row>
    <row r="24" spans="1:37" ht="28.5" customHeight="1" x14ac:dyDescent="0.25">
      <c r="A24" s="42">
        <v>19</v>
      </c>
      <c r="B24" s="51">
        <v>200</v>
      </c>
      <c r="C24" s="51">
        <f t="shared" si="2"/>
        <v>7764</v>
      </c>
      <c r="D24" s="51">
        <v>200</v>
      </c>
      <c r="E24" s="51">
        <f t="shared" si="3"/>
        <v>15528</v>
      </c>
      <c r="F24" s="51">
        <v>200</v>
      </c>
      <c r="G24" s="1">
        <f t="shared" si="18"/>
        <v>15528</v>
      </c>
      <c r="H24" s="43">
        <v>12</v>
      </c>
      <c r="I24" s="1">
        <f t="shared" si="19"/>
        <v>504</v>
      </c>
      <c r="J24" s="43"/>
      <c r="K24" s="52">
        <f t="shared" si="4"/>
        <v>0</v>
      </c>
      <c r="L24" s="43">
        <v>2</v>
      </c>
      <c r="M24" s="52">
        <f t="shared" si="5"/>
        <v>56</v>
      </c>
      <c r="N24" s="51">
        <v>10</v>
      </c>
      <c r="O24" s="52">
        <f t="shared" si="6"/>
        <v>144.1</v>
      </c>
      <c r="P24" s="51"/>
      <c r="Q24" s="52">
        <f t="shared" si="7"/>
        <v>0</v>
      </c>
      <c r="R24" s="51">
        <v>277</v>
      </c>
      <c r="S24" s="52">
        <f t="shared" si="8"/>
        <v>10526</v>
      </c>
      <c r="T24" s="43">
        <v>144</v>
      </c>
      <c r="U24" s="52">
        <f t="shared" si="9"/>
        <v>2075.04</v>
      </c>
      <c r="V24" s="43">
        <v>15</v>
      </c>
      <c r="W24" s="52">
        <f t="shared" si="10"/>
        <v>420</v>
      </c>
      <c r="X24" s="94">
        <f t="shared" si="11"/>
        <v>52545.14</v>
      </c>
      <c r="Y24" s="92">
        <v>31949.67</v>
      </c>
      <c r="Z24" s="44">
        <f t="shared" si="12"/>
        <v>60.804234226038787</v>
      </c>
      <c r="AA24" s="110">
        <v>75</v>
      </c>
      <c r="AB24" s="78">
        <f t="shared" si="13"/>
        <v>2850</v>
      </c>
      <c r="AC24" s="74"/>
      <c r="AD24" s="105">
        <f t="shared" si="14"/>
        <v>0</v>
      </c>
      <c r="AE24" s="110">
        <v>49</v>
      </c>
      <c r="AF24" s="78">
        <f t="shared" si="15"/>
        <v>980</v>
      </c>
      <c r="AG24" s="74">
        <v>4429.74</v>
      </c>
      <c r="AH24" s="105">
        <f t="shared" si="16"/>
        <v>452.01428571428568</v>
      </c>
      <c r="AI24" s="43">
        <v>10</v>
      </c>
      <c r="AJ24" s="74">
        <v>923.54</v>
      </c>
      <c r="AK24" s="78">
        <f t="shared" si="17"/>
        <v>92.353999999999999</v>
      </c>
    </row>
    <row r="25" spans="1:37" ht="30" customHeight="1" x14ac:dyDescent="0.25">
      <c r="A25" s="42">
        <v>20</v>
      </c>
      <c r="B25" s="51">
        <v>200</v>
      </c>
      <c r="C25" s="51">
        <f t="shared" si="2"/>
        <v>7764</v>
      </c>
      <c r="D25" s="51">
        <v>200</v>
      </c>
      <c r="E25" s="51">
        <f t="shared" si="3"/>
        <v>15528</v>
      </c>
      <c r="F25" s="51">
        <v>200</v>
      </c>
      <c r="G25" s="1">
        <f t="shared" si="18"/>
        <v>15528</v>
      </c>
      <c r="H25" s="43">
        <v>11</v>
      </c>
      <c r="I25" s="1">
        <f t="shared" si="19"/>
        <v>462</v>
      </c>
      <c r="J25" s="43"/>
      <c r="K25" s="52">
        <f t="shared" si="4"/>
        <v>0</v>
      </c>
      <c r="L25" s="43">
        <v>2</v>
      </c>
      <c r="M25" s="52">
        <f t="shared" si="5"/>
        <v>56</v>
      </c>
      <c r="N25" s="51">
        <v>0</v>
      </c>
      <c r="O25" s="52">
        <f t="shared" si="6"/>
        <v>0</v>
      </c>
      <c r="P25" s="51"/>
      <c r="Q25" s="52">
        <f t="shared" si="7"/>
        <v>0</v>
      </c>
      <c r="R25" s="51">
        <v>262</v>
      </c>
      <c r="S25" s="52">
        <f t="shared" si="8"/>
        <v>9956</v>
      </c>
      <c r="T25" s="43">
        <v>4</v>
      </c>
      <c r="U25" s="52">
        <f t="shared" si="9"/>
        <v>57.64</v>
      </c>
      <c r="V25" s="43">
        <v>0</v>
      </c>
      <c r="W25" s="52">
        <f t="shared" si="10"/>
        <v>0</v>
      </c>
      <c r="X25" s="94">
        <f t="shared" si="11"/>
        <v>49351.64</v>
      </c>
      <c r="Y25" s="92">
        <v>32873.919999999998</v>
      </c>
      <c r="Z25" s="44">
        <f t="shared" si="12"/>
        <v>66.611606017550784</v>
      </c>
      <c r="AA25" s="110">
        <v>75</v>
      </c>
      <c r="AB25" s="78">
        <f t="shared" si="13"/>
        <v>2850</v>
      </c>
      <c r="AC25" s="74"/>
      <c r="AD25" s="105">
        <f t="shared" si="14"/>
        <v>0</v>
      </c>
      <c r="AE25" s="110">
        <v>47</v>
      </c>
      <c r="AF25" s="78">
        <f t="shared" si="15"/>
        <v>940</v>
      </c>
      <c r="AG25" s="74"/>
      <c r="AH25" s="105">
        <f t="shared" si="16"/>
        <v>0</v>
      </c>
      <c r="AI25" s="43">
        <v>10</v>
      </c>
      <c r="AJ25" s="74">
        <v>723.83</v>
      </c>
      <c r="AK25" s="78">
        <f t="shared" si="17"/>
        <v>72.38300000000001</v>
      </c>
    </row>
    <row r="26" spans="1:37" ht="32.25" customHeight="1" x14ac:dyDescent="0.25">
      <c r="A26" s="42">
        <v>21</v>
      </c>
      <c r="B26" s="51">
        <v>200</v>
      </c>
      <c r="C26" s="51">
        <f t="shared" si="2"/>
        <v>7764</v>
      </c>
      <c r="D26" s="51">
        <v>200</v>
      </c>
      <c r="E26" s="51">
        <f t="shared" si="3"/>
        <v>15528</v>
      </c>
      <c r="F26" s="51">
        <v>200</v>
      </c>
      <c r="G26" s="1">
        <f t="shared" si="18"/>
        <v>15528</v>
      </c>
      <c r="H26" s="43">
        <v>20</v>
      </c>
      <c r="I26" s="1">
        <f t="shared" si="19"/>
        <v>840</v>
      </c>
      <c r="J26" s="43"/>
      <c r="K26" s="52">
        <f t="shared" si="4"/>
        <v>0</v>
      </c>
      <c r="L26" s="43">
        <v>2</v>
      </c>
      <c r="M26" s="52">
        <f t="shared" si="5"/>
        <v>56</v>
      </c>
      <c r="N26" s="51"/>
      <c r="O26" s="52">
        <f t="shared" si="6"/>
        <v>0</v>
      </c>
      <c r="P26" s="51"/>
      <c r="Q26" s="52">
        <f t="shared" si="7"/>
        <v>0</v>
      </c>
      <c r="R26" s="51">
        <v>262</v>
      </c>
      <c r="S26" s="52">
        <f t="shared" si="8"/>
        <v>9956</v>
      </c>
      <c r="T26" s="43">
        <v>4</v>
      </c>
      <c r="U26" s="52">
        <f t="shared" si="9"/>
        <v>57.64</v>
      </c>
      <c r="V26" s="43">
        <v>0</v>
      </c>
      <c r="W26" s="52">
        <f t="shared" si="10"/>
        <v>0</v>
      </c>
      <c r="X26" s="94">
        <f t="shared" si="11"/>
        <v>49729.64</v>
      </c>
      <c r="Y26" s="92">
        <v>32508</v>
      </c>
      <c r="Z26" s="44">
        <f t="shared" si="12"/>
        <v>65.369465775340416</v>
      </c>
      <c r="AA26" s="110">
        <v>75</v>
      </c>
      <c r="AB26" s="78">
        <f t="shared" si="13"/>
        <v>2850</v>
      </c>
      <c r="AC26" s="74">
        <v>7781.15</v>
      </c>
      <c r="AD26" s="105">
        <f t="shared" si="14"/>
        <v>273.02280701754387</v>
      </c>
      <c r="AE26" s="110">
        <v>45</v>
      </c>
      <c r="AF26" s="78">
        <f t="shared" si="15"/>
        <v>900</v>
      </c>
      <c r="AG26" s="74"/>
      <c r="AH26" s="105">
        <f t="shared" si="16"/>
        <v>0</v>
      </c>
      <c r="AI26" s="43">
        <v>10</v>
      </c>
      <c r="AJ26" s="74">
        <v>479.41</v>
      </c>
      <c r="AK26" s="78">
        <f t="shared" si="17"/>
        <v>47.941000000000003</v>
      </c>
    </row>
    <row r="27" spans="1:37" ht="32.25" customHeight="1" x14ac:dyDescent="0.25">
      <c r="A27" s="42">
        <v>22</v>
      </c>
      <c r="B27" s="51">
        <v>200</v>
      </c>
      <c r="C27" s="51">
        <f t="shared" si="2"/>
        <v>7764</v>
      </c>
      <c r="D27" s="51">
        <v>200</v>
      </c>
      <c r="E27" s="51">
        <f t="shared" si="3"/>
        <v>15528</v>
      </c>
      <c r="F27" s="51">
        <v>200</v>
      </c>
      <c r="G27" s="1">
        <f t="shared" si="18"/>
        <v>15528</v>
      </c>
      <c r="H27" s="43">
        <v>15</v>
      </c>
      <c r="I27" s="1">
        <f t="shared" si="19"/>
        <v>630</v>
      </c>
      <c r="J27" s="43"/>
      <c r="K27" s="52">
        <f t="shared" si="4"/>
        <v>0</v>
      </c>
      <c r="L27" s="43">
        <v>137</v>
      </c>
      <c r="M27" s="52">
        <f t="shared" si="5"/>
        <v>3836</v>
      </c>
      <c r="N27" s="51">
        <v>12</v>
      </c>
      <c r="O27" s="52">
        <f t="shared" si="6"/>
        <v>172.92000000000002</v>
      </c>
      <c r="P27" s="51"/>
      <c r="Q27" s="52">
        <f t="shared" si="7"/>
        <v>0</v>
      </c>
      <c r="R27" s="51">
        <v>295</v>
      </c>
      <c r="S27" s="52">
        <f t="shared" si="8"/>
        <v>11210</v>
      </c>
      <c r="T27" s="43">
        <v>144</v>
      </c>
      <c r="U27" s="52">
        <f t="shared" si="9"/>
        <v>2075.04</v>
      </c>
      <c r="V27" s="43">
        <v>17</v>
      </c>
      <c r="W27" s="52">
        <f t="shared" si="10"/>
        <v>476</v>
      </c>
      <c r="X27" s="94">
        <f t="shared" si="11"/>
        <v>57219.96</v>
      </c>
      <c r="Y27" s="92">
        <v>34985.300000000003</v>
      </c>
      <c r="Z27" s="44">
        <f t="shared" si="12"/>
        <v>61.141776401102</v>
      </c>
      <c r="AA27" s="110">
        <v>75</v>
      </c>
      <c r="AB27" s="78">
        <f t="shared" si="13"/>
        <v>2850</v>
      </c>
      <c r="AC27" s="74"/>
      <c r="AD27" s="105">
        <f t="shared" si="14"/>
        <v>0</v>
      </c>
      <c r="AE27" s="110">
        <v>50</v>
      </c>
      <c r="AF27" s="78">
        <f t="shared" si="15"/>
        <v>1000</v>
      </c>
      <c r="AG27" s="74">
        <v>2059.92</v>
      </c>
      <c r="AH27" s="105">
        <f t="shared" si="16"/>
        <v>205.99199999999999</v>
      </c>
      <c r="AI27" s="43">
        <v>10</v>
      </c>
      <c r="AJ27" s="74">
        <v>543.85</v>
      </c>
      <c r="AK27" s="78">
        <f t="shared" si="17"/>
        <v>54.385000000000005</v>
      </c>
    </row>
    <row r="28" spans="1:37" ht="30" customHeight="1" x14ac:dyDescent="0.25">
      <c r="A28" s="42">
        <v>23</v>
      </c>
      <c r="B28" s="51">
        <v>200</v>
      </c>
      <c r="C28" s="51">
        <f t="shared" si="2"/>
        <v>7764</v>
      </c>
      <c r="D28" s="51">
        <v>200</v>
      </c>
      <c r="E28" s="51">
        <f t="shared" si="3"/>
        <v>15528</v>
      </c>
      <c r="F28" s="51">
        <v>200</v>
      </c>
      <c r="G28" s="1">
        <f t="shared" si="18"/>
        <v>15528</v>
      </c>
      <c r="H28" s="43">
        <v>18</v>
      </c>
      <c r="I28" s="1">
        <f t="shared" si="19"/>
        <v>756</v>
      </c>
      <c r="J28" s="43"/>
      <c r="K28" s="52">
        <f t="shared" si="4"/>
        <v>0</v>
      </c>
      <c r="L28" s="43">
        <v>2</v>
      </c>
      <c r="M28" s="52">
        <f t="shared" si="5"/>
        <v>56</v>
      </c>
      <c r="N28" s="51">
        <v>10</v>
      </c>
      <c r="O28" s="52">
        <f t="shared" si="6"/>
        <v>144.1</v>
      </c>
      <c r="P28" s="51"/>
      <c r="Q28" s="52">
        <f t="shared" si="7"/>
        <v>0</v>
      </c>
      <c r="R28" s="51">
        <v>295</v>
      </c>
      <c r="S28" s="52">
        <f t="shared" si="8"/>
        <v>11210</v>
      </c>
      <c r="T28" s="43">
        <v>144</v>
      </c>
      <c r="U28" s="52">
        <f t="shared" si="9"/>
        <v>2075.04</v>
      </c>
      <c r="V28" s="43">
        <v>17</v>
      </c>
      <c r="W28" s="52">
        <f t="shared" si="10"/>
        <v>476</v>
      </c>
      <c r="X28" s="94">
        <f t="shared" si="11"/>
        <v>53537.14</v>
      </c>
      <c r="Y28" s="92">
        <v>41425.56</v>
      </c>
      <c r="Z28" s="44">
        <f t="shared" si="12"/>
        <v>77.377237558823637</v>
      </c>
      <c r="AA28" s="110">
        <v>75</v>
      </c>
      <c r="AB28" s="78">
        <f t="shared" si="13"/>
        <v>2850</v>
      </c>
      <c r="AC28" s="74"/>
      <c r="AD28" s="105">
        <f t="shared" si="14"/>
        <v>0</v>
      </c>
      <c r="AE28" s="110">
        <v>52</v>
      </c>
      <c r="AF28" s="78">
        <f t="shared" si="15"/>
        <v>1040</v>
      </c>
      <c r="AG28" s="74"/>
      <c r="AH28" s="122">
        <f t="shared" si="16"/>
        <v>0</v>
      </c>
      <c r="AI28" s="43">
        <v>10</v>
      </c>
      <c r="AJ28" s="74">
        <v>944.88</v>
      </c>
      <c r="AK28" s="78">
        <f t="shared" si="17"/>
        <v>94.488</v>
      </c>
    </row>
    <row r="29" spans="1:37" ht="30.75" customHeight="1" x14ac:dyDescent="0.25">
      <c r="A29" s="42">
        <v>24</v>
      </c>
      <c r="B29" s="51">
        <v>200</v>
      </c>
      <c r="C29" s="51">
        <f t="shared" si="2"/>
        <v>7764</v>
      </c>
      <c r="D29" s="51">
        <v>200</v>
      </c>
      <c r="E29" s="51">
        <f t="shared" si="3"/>
        <v>15528</v>
      </c>
      <c r="F29" s="51">
        <v>200</v>
      </c>
      <c r="G29" s="1">
        <f t="shared" si="18"/>
        <v>15528</v>
      </c>
      <c r="H29" s="43">
        <v>10</v>
      </c>
      <c r="I29" s="1">
        <f t="shared" si="19"/>
        <v>420</v>
      </c>
      <c r="J29" s="43"/>
      <c r="K29" s="52">
        <f t="shared" si="4"/>
        <v>0</v>
      </c>
      <c r="L29" s="43">
        <v>2</v>
      </c>
      <c r="M29" s="52">
        <f t="shared" si="5"/>
        <v>56</v>
      </c>
      <c r="N29" s="51">
        <v>16</v>
      </c>
      <c r="O29" s="52">
        <f t="shared" si="6"/>
        <v>230.56</v>
      </c>
      <c r="P29" s="51"/>
      <c r="Q29" s="52">
        <f t="shared" si="7"/>
        <v>0</v>
      </c>
      <c r="R29" s="51">
        <v>295</v>
      </c>
      <c r="S29" s="52">
        <f t="shared" si="8"/>
        <v>11210</v>
      </c>
      <c r="T29" s="43">
        <v>156</v>
      </c>
      <c r="U29" s="52">
        <f t="shared" si="9"/>
        <v>2247.96</v>
      </c>
      <c r="V29" s="43">
        <v>17</v>
      </c>
      <c r="W29" s="52">
        <f t="shared" si="10"/>
        <v>476</v>
      </c>
      <c r="X29" s="94">
        <f t="shared" si="11"/>
        <v>53460.52</v>
      </c>
      <c r="Y29" s="92">
        <v>46489.72</v>
      </c>
      <c r="Z29" s="44">
        <f t="shared" si="12"/>
        <v>86.960845124589142</v>
      </c>
      <c r="AA29" s="110">
        <v>75</v>
      </c>
      <c r="AB29" s="78">
        <f t="shared" si="13"/>
        <v>2850</v>
      </c>
      <c r="AC29" s="74"/>
      <c r="AD29" s="105">
        <f t="shared" si="14"/>
        <v>0</v>
      </c>
      <c r="AE29" s="110">
        <v>51</v>
      </c>
      <c r="AF29" s="78">
        <f t="shared" si="15"/>
        <v>1020</v>
      </c>
      <c r="AG29" s="74">
        <v>1448.79</v>
      </c>
      <c r="AH29" s="122">
        <f t="shared" si="16"/>
        <v>142.03823529411764</v>
      </c>
      <c r="AI29" s="43">
        <v>10</v>
      </c>
      <c r="AJ29" s="74">
        <v>582.85</v>
      </c>
      <c r="AK29" s="78">
        <f t="shared" si="17"/>
        <v>58.285000000000004</v>
      </c>
    </row>
    <row r="30" spans="1:37" ht="29.25" customHeight="1" x14ac:dyDescent="0.25">
      <c r="A30" s="42">
        <v>25</v>
      </c>
      <c r="B30" s="51">
        <v>200</v>
      </c>
      <c r="C30" s="51">
        <f t="shared" si="2"/>
        <v>7764</v>
      </c>
      <c r="D30" s="51">
        <v>200</v>
      </c>
      <c r="E30" s="51">
        <f t="shared" si="3"/>
        <v>15528</v>
      </c>
      <c r="F30" s="51">
        <v>200</v>
      </c>
      <c r="G30" s="1">
        <f t="shared" si="18"/>
        <v>15528</v>
      </c>
      <c r="H30" s="43">
        <v>15</v>
      </c>
      <c r="I30" s="1">
        <f t="shared" si="19"/>
        <v>630</v>
      </c>
      <c r="J30" s="43"/>
      <c r="K30" s="52">
        <f t="shared" si="4"/>
        <v>0</v>
      </c>
      <c r="L30" s="43">
        <v>2</v>
      </c>
      <c r="M30" s="52">
        <f t="shared" si="5"/>
        <v>56</v>
      </c>
      <c r="N30" s="51">
        <v>22</v>
      </c>
      <c r="O30" s="52">
        <f t="shared" si="6"/>
        <v>317.02</v>
      </c>
      <c r="P30" s="51"/>
      <c r="Q30" s="52">
        <f t="shared" si="7"/>
        <v>0</v>
      </c>
      <c r="R30" s="51">
        <v>295</v>
      </c>
      <c r="S30" s="52">
        <f t="shared" si="8"/>
        <v>11210</v>
      </c>
      <c r="T30" s="43">
        <v>156</v>
      </c>
      <c r="U30" s="52">
        <f t="shared" si="9"/>
        <v>2247.96</v>
      </c>
      <c r="V30" s="43">
        <v>17</v>
      </c>
      <c r="W30" s="52">
        <f t="shared" si="10"/>
        <v>476</v>
      </c>
      <c r="X30" s="94">
        <f t="shared" si="11"/>
        <v>53756.979999999996</v>
      </c>
      <c r="Y30" s="92">
        <v>44561.95</v>
      </c>
      <c r="Z30" s="44">
        <f t="shared" si="12"/>
        <v>82.895188680614126</v>
      </c>
      <c r="AA30" s="110">
        <v>75</v>
      </c>
      <c r="AB30" s="78">
        <f t="shared" si="13"/>
        <v>2850</v>
      </c>
      <c r="AC30" s="74"/>
      <c r="AD30" s="105">
        <f t="shared" si="14"/>
        <v>0</v>
      </c>
      <c r="AE30" s="110">
        <v>51</v>
      </c>
      <c r="AF30" s="78">
        <f t="shared" si="15"/>
        <v>1020</v>
      </c>
      <c r="AG30" s="74">
        <v>2511.6</v>
      </c>
      <c r="AH30" s="122">
        <f t="shared" si="16"/>
        <v>246.23529411764707</v>
      </c>
      <c r="AI30" s="43">
        <v>10</v>
      </c>
      <c r="AJ30" s="74">
        <v>577.37</v>
      </c>
      <c r="AK30" s="78">
        <f t="shared" si="17"/>
        <v>57.737000000000002</v>
      </c>
    </row>
    <row r="31" spans="1:37" ht="26.25" customHeight="1" x14ac:dyDescent="0.25">
      <c r="A31" s="42">
        <v>26</v>
      </c>
      <c r="B31" s="51">
        <v>200</v>
      </c>
      <c r="C31" s="51">
        <f t="shared" si="2"/>
        <v>7764</v>
      </c>
      <c r="D31" s="51">
        <v>200</v>
      </c>
      <c r="E31" s="51">
        <f t="shared" si="3"/>
        <v>15528</v>
      </c>
      <c r="F31" s="51">
        <v>200</v>
      </c>
      <c r="G31" s="1">
        <f t="shared" si="18"/>
        <v>15528</v>
      </c>
      <c r="H31" s="43">
        <v>21</v>
      </c>
      <c r="I31" s="1">
        <f t="shared" si="19"/>
        <v>882</v>
      </c>
      <c r="J31" s="43"/>
      <c r="K31" s="52">
        <f t="shared" si="4"/>
        <v>0</v>
      </c>
      <c r="L31" s="43">
        <v>2</v>
      </c>
      <c r="M31" s="52">
        <f t="shared" si="5"/>
        <v>56</v>
      </c>
      <c r="N31" s="51">
        <v>12</v>
      </c>
      <c r="O31" s="52">
        <f t="shared" si="6"/>
        <v>172.92000000000002</v>
      </c>
      <c r="P31" s="51"/>
      <c r="Q31" s="52">
        <f t="shared" si="7"/>
        <v>0</v>
      </c>
      <c r="R31" s="51">
        <v>295</v>
      </c>
      <c r="S31" s="52">
        <f t="shared" si="8"/>
        <v>11210</v>
      </c>
      <c r="T31" s="43">
        <v>156</v>
      </c>
      <c r="U31" s="52">
        <f t="shared" si="9"/>
        <v>2247.96</v>
      </c>
      <c r="V31" s="43">
        <v>17</v>
      </c>
      <c r="W31" s="52">
        <f t="shared" si="10"/>
        <v>476</v>
      </c>
      <c r="X31" s="94">
        <f t="shared" si="11"/>
        <v>53864.88</v>
      </c>
      <c r="Y31" s="92">
        <v>28124.95</v>
      </c>
      <c r="Z31" s="44">
        <f t="shared" si="12"/>
        <v>52.213891500361655</v>
      </c>
      <c r="AA31" s="110">
        <v>75</v>
      </c>
      <c r="AB31" s="78">
        <f t="shared" si="13"/>
        <v>2850</v>
      </c>
      <c r="AC31" s="104"/>
      <c r="AD31" s="105">
        <f t="shared" si="14"/>
        <v>0</v>
      </c>
      <c r="AE31" s="110">
        <v>50</v>
      </c>
      <c r="AF31" s="78">
        <f t="shared" si="15"/>
        <v>1000</v>
      </c>
      <c r="AG31" s="74">
        <v>90.27</v>
      </c>
      <c r="AH31" s="122">
        <f t="shared" si="16"/>
        <v>9.0269999999999992</v>
      </c>
      <c r="AI31" s="43">
        <v>10</v>
      </c>
      <c r="AJ31" s="74">
        <v>484.08</v>
      </c>
      <c r="AK31" s="78">
        <f t="shared" si="17"/>
        <v>48.408000000000001</v>
      </c>
    </row>
    <row r="32" spans="1:37" ht="31.5" customHeight="1" x14ac:dyDescent="0.25">
      <c r="A32" s="42">
        <v>27</v>
      </c>
      <c r="B32" s="51">
        <v>200</v>
      </c>
      <c r="C32" s="51">
        <f t="shared" si="2"/>
        <v>7764</v>
      </c>
      <c r="D32" s="51">
        <v>200</v>
      </c>
      <c r="E32" s="51">
        <f t="shared" si="3"/>
        <v>15528</v>
      </c>
      <c r="F32" s="51">
        <v>200</v>
      </c>
      <c r="G32" s="1">
        <f t="shared" si="18"/>
        <v>15528</v>
      </c>
      <c r="H32" s="43">
        <v>13</v>
      </c>
      <c r="I32" s="1">
        <f t="shared" si="19"/>
        <v>546</v>
      </c>
      <c r="J32" s="43"/>
      <c r="K32" s="52">
        <f t="shared" si="4"/>
        <v>0</v>
      </c>
      <c r="L32" s="43">
        <v>2</v>
      </c>
      <c r="M32" s="52">
        <f t="shared" si="5"/>
        <v>56</v>
      </c>
      <c r="N32" s="51">
        <v>7</v>
      </c>
      <c r="O32" s="52">
        <f t="shared" si="6"/>
        <v>100.87</v>
      </c>
      <c r="P32" s="51"/>
      <c r="Q32" s="52">
        <f t="shared" si="7"/>
        <v>0</v>
      </c>
      <c r="R32" s="43">
        <v>280</v>
      </c>
      <c r="S32" s="52">
        <f t="shared" si="8"/>
        <v>10640</v>
      </c>
      <c r="T32" s="43">
        <v>17</v>
      </c>
      <c r="U32" s="52">
        <f t="shared" si="9"/>
        <v>244.97</v>
      </c>
      <c r="V32" s="43">
        <v>0</v>
      </c>
      <c r="W32" s="52">
        <f t="shared" si="10"/>
        <v>0</v>
      </c>
      <c r="X32" s="94">
        <f t="shared" si="11"/>
        <v>50407.840000000004</v>
      </c>
      <c r="Y32" s="92">
        <v>19121.419999999998</v>
      </c>
      <c r="Z32" s="44">
        <f t="shared" si="12"/>
        <v>37.933424641881096</v>
      </c>
      <c r="AA32" s="110">
        <v>75</v>
      </c>
      <c r="AB32" s="78">
        <f t="shared" si="13"/>
        <v>2850</v>
      </c>
      <c r="AC32" s="74"/>
      <c r="AD32" s="105">
        <f t="shared" si="14"/>
        <v>0</v>
      </c>
      <c r="AE32" s="110">
        <v>46</v>
      </c>
      <c r="AF32" s="78">
        <f t="shared" si="15"/>
        <v>920</v>
      </c>
      <c r="AG32" s="74">
        <v>875.69</v>
      </c>
      <c r="AH32" s="122">
        <f t="shared" si="16"/>
        <v>95.18369565217391</v>
      </c>
      <c r="AI32" s="43">
        <v>10</v>
      </c>
      <c r="AJ32" s="74">
        <v>700.78</v>
      </c>
      <c r="AK32" s="78">
        <f t="shared" si="17"/>
        <v>70.078000000000003</v>
      </c>
    </row>
    <row r="33" spans="1:37" ht="31.5" customHeight="1" x14ac:dyDescent="0.25">
      <c r="A33" s="42">
        <v>28</v>
      </c>
      <c r="B33" s="51">
        <v>200</v>
      </c>
      <c r="C33" s="51">
        <f t="shared" si="2"/>
        <v>7764</v>
      </c>
      <c r="D33" s="51">
        <v>200</v>
      </c>
      <c r="E33" s="51">
        <f t="shared" si="3"/>
        <v>15528</v>
      </c>
      <c r="F33" s="51">
        <v>200</v>
      </c>
      <c r="G33" s="1">
        <f t="shared" si="18"/>
        <v>15528</v>
      </c>
      <c r="H33" s="43">
        <v>13</v>
      </c>
      <c r="I33" s="1">
        <f t="shared" si="19"/>
        <v>546</v>
      </c>
      <c r="J33" s="43"/>
      <c r="K33" s="52">
        <f t="shared" si="4"/>
        <v>0</v>
      </c>
      <c r="L33" s="43">
        <v>2</v>
      </c>
      <c r="M33" s="52">
        <f t="shared" si="5"/>
        <v>56</v>
      </c>
      <c r="N33" s="51">
        <v>7</v>
      </c>
      <c r="O33" s="52">
        <f t="shared" si="6"/>
        <v>100.87</v>
      </c>
      <c r="P33" s="51"/>
      <c r="Q33" s="52">
        <f t="shared" si="7"/>
        <v>0</v>
      </c>
      <c r="R33" s="43">
        <v>280</v>
      </c>
      <c r="S33" s="52">
        <f t="shared" si="8"/>
        <v>10640</v>
      </c>
      <c r="T33" s="43">
        <v>17</v>
      </c>
      <c r="U33" s="52">
        <f t="shared" si="9"/>
        <v>244.97</v>
      </c>
      <c r="V33" s="43">
        <v>0</v>
      </c>
      <c r="W33" s="52">
        <f t="shared" si="10"/>
        <v>0</v>
      </c>
      <c r="X33" s="94">
        <f t="shared" si="11"/>
        <v>50407.840000000004</v>
      </c>
      <c r="Y33" s="92">
        <v>21265.360000000001</v>
      </c>
      <c r="Z33" s="44">
        <f>+Y33/X33*100</f>
        <v>42.186612241270403</v>
      </c>
      <c r="AA33" s="110">
        <v>75</v>
      </c>
      <c r="AB33" s="78">
        <f t="shared" si="13"/>
        <v>2850</v>
      </c>
      <c r="AC33" s="74"/>
      <c r="AD33" s="105">
        <f t="shared" si="14"/>
        <v>0</v>
      </c>
      <c r="AE33" s="110">
        <v>48</v>
      </c>
      <c r="AF33" s="78">
        <f t="shared" si="15"/>
        <v>960</v>
      </c>
      <c r="AG33" s="74"/>
      <c r="AH33" s="122">
        <f t="shared" si="16"/>
        <v>0</v>
      </c>
      <c r="AI33" s="43">
        <v>10</v>
      </c>
      <c r="AJ33" s="74">
        <v>664.05</v>
      </c>
      <c r="AK33" s="78">
        <f t="shared" si="17"/>
        <v>66.405000000000001</v>
      </c>
    </row>
    <row r="34" spans="1:37" ht="31.5" customHeight="1" x14ac:dyDescent="0.25">
      <c r="A34" s="42">
        <v>29</v>
      </c>
      <c r="B34" s="51">
        <v>200</v>
      </c>
      <c r="C34" s="52">
        <f t="shared" si="2"/>
        <v>7764</v>
      </c>
      <c r="D34" s="51">
        <v>200</v>
      </c>
      <c r="E34" s="52">
        <f t="shared" si="3"/>
        <v>15528</v>
      </c>
      <c r="F34" s="51">
        <v>200</v>
      </c>
      <c r="G34" s="1">
        <f t="shared" si="18"/>
        <v>15528</v>
      </c>
      <c r="H34" s="43">
        <v>19</v>
      </c>
      <c r="I34" s="1">
        <f t="shared" si="19"/>
        <v>798</v>
      </c>
      <c r="J34" s="43"/>
      <c r="K34" s="52">
        <f t="shared" si="4"/>
        <v>0</v>
      </c>
      <c r="L34" s="43">
        <v>141</v>
      </c>
      <c r="M34" s="52">
        <f t="shared" si="5"/>
        <v>3948</v>
      </c>
      <c r="N34" s="51">
        <v>14</v>
      </c>
      <c r="O34" s="52">
        <f t="shared" si="6"/>
        <v>201.74</v>
      </c>
      <c r="P34" s="51"/>
      <c r="Q34" s="52">
        <f t="shared" si="7"/>
        <v>0</v>
      </c>
      <c r="R34" s="43">
        <v>295</v>
      </c>
      <c r="S34" s="52">
        <f t="shared" si="8"/>
        <v>11210</v>
      </c>
      <c r="T34" s="43">
        <v>163</v>
      </c>
      <c r="U34" s="52">
        <f t="shared" si="9"/>
        <v>2348.83</v>
      </c>
      <c r="V34" s="43">
        <v>17</v>
      </c>
      <c r="W34" s="52">
        <f t="shared" si="10"/>
        <v>476</v>
      </c>
      <c r="X34" s="94">
        <f t="shared" si="11"/>
        <v>57802.57</v>
      </c>
      <c r="Y34" s="92">
        <v>38862.75</v>
      </c>
      <c r="Z34" s="44">
        <f t="shared" si="12"/>
        <v>67.233602242945253</v>
      </c>
      <c r="AA34" s="110">
        <v>75</v>
      </c>
      <c r="AB34" s="78">
        <f t="shared" si="13"/>
        <v>2850</v>
      </c>
      <c r="AC34" s="74"/>
      <c r="AD34" s="105">
        <f t="shared" si="14"/>
        <v>0</v>
      </c>
      <c r="AE34" s="110">
        <v>51</v>
      </c>
      <c r="AF34" s="78">
        <f t="shared" si="15"/>
        <v>1020</v>
      </c>
      <c r="AG34" s="74"/>
      <c r="AH34" s="122">
        <f t="shared" si="16"/>
        <v>0</v>
      </c>
      <c r="AI34" s="43">
        <v>10</v>
      </c>
      <c r="AJ34" s="74">
        <v>675.21</v>
      </c>
      <c r="AK34" s="78">
        <f t="shared" si="17"/>
        <v>67.521000000000001</v>
      </c>
    </row>
    <row r="35" spans="1:37" ht="28.5" customHeight="1" x14ac:dyDescent="0.25">
      <c r="A35" s="42">
        <v>30</v>
      </c>
      <c r="B35" s="51">
        <v>200</v>
      </c>
      <c r="C35" s="52">
        <f t="shared" si="2"/>
        <v>7764</v>
      </c>
      <c r="D35" s="51">
        <v>200</v>
      </c>
      <c r="E35" s="52">
        <f t="shared" si="3"/>
        <v>15528</v>
      </c>
      <c r="F35" s="51">
        <v>200</v>
      </c>
      <c r="G35" s="1">
        <f t="shared" si="18"/>
        <v>15528</v>
      </c>
      <c r="H35" s="43">
        <v>18</v>
      </c>
      <c r="I35" s="1">
        <f t="shared" si="19"/>
        <v>756</v>
      </c>
      <c r="J35" s="43"/>
      <c r="K35" s="52">
        <f t="shared" si="4"/>
        <v>0</v>
      </c>
      <c r="L35" s="43">
        <v>2</v>
      </c>
      <c r="M35" s="52">
        <f t="shared" si="5"/>
        <v>56</v>
      </c>
      <c r="N35" s="51">
        <v>12</v>
      </c>
      <c r="O35" s="52">
        <f t="shared" si="6"/>
        <v>172.92000000000002</v>
      </c>
      <c r="P35" s="51"/>
      <c r="Q35" s="52">
        <f t="shared" si="7"/>
        <v>0</v>
      </c>
      <c r="R35" s="43">
        <v>295</v>
      </c>
      <c r="S35" s="52">
        <f t="shared" si="8"/>
        <v>11210</v>
      </c>
      <c r="T35" s="43">
        <v>163</v>
      </c>
      <c r="U35" s="52">
        <f t="shared" si="9"/>
        <v>2348.83</v>
      </c>
      <c r="V35" s="43">
        <v>17</v>
      </c>
      <c r="W35" s="52">
        <f t="shared" si="10"/>
        <v>476</v>
      </c>
      <c r="X35" s="94">
        <f t="shared" si="11"/>
        <v>53839.75</v>
      </c>
      <c r="Y35" s="92">
        <v>40984.410000000003</v>
      </c>
      <c r="Z35" s="44">
        <f t="shared" si="12"/>
        <v>76.122957480300343</v>
      </c>
      <c r="AA35" s="110">
        <v>75</v>
      </c>
      <c r="AB35" s="78">
        <f t="shared" si="13"/>
        <v>2850</v>
      </c>
      <c r="AC35" s="74">
        <v>5752.3</v>
      </c>
      <c r="AD35" s="105">
        <f t="shared" si="14"/>
        <v>201.83508771929826</v>
      </c>
      <c r="AE35" s="110">
        <v>56</v>
      </c>
      <c r="AF35" s="78">
        <f t="shared" si="15"/>
        <v>1120</v>
      </c>
      <c r="AG35" s="74">
        <v>3952.66</v>
      </c>
      <c r="AH35" s="122">
        <f t="shared" si="16"/>
        <v>352.9160714285714</v>
      </c>
      <c r="AI35" s="43">
        <v>10</v>
      </c>
      <c r="AJ35" s="74">
        <v>951.14</v>
      </c>
      <c r="AK35" s="78">
        <f t="shared" si="17"/>
        <v>95.114000000000004</v>
      </c>
    </row>
    <row r="36" spans="1:37" ht="27.75" customHeight="1" x14ac:dyDescent="0.25">
      <c r="A36" s="42">
        <v>31</v>
      </c>
      <c r="B36" s="51">
        <v>200</v>
      </c>
      <c r="C36" s="52">
        <f t="shared" si="2"/>
        <v>7764</v>
      </c>
      <c r="D36" s="51">
        <v>200</v>
      </c>
      <c r="E36" s="52">
        <f>+D36*77.64</f>
        <v>15528</v>
      </c>
      <c r="F36" s="51">
        <v>200</v>
      </c>
      <c r="G36" s="1">
        <f t="shared" si="18"/>
        <v>15528</v>
      </c>
      <c r="H36" s="43">
        <v>18</v>
      </c>
      <c r="I36" s="1">
        <f t="shared" si="19"/>
        <v>756</v>
      </c>
      <c r="J36" s="43"/>
      <c r="K36" s="52">
        <f t="shared" si="4"/>
        <v>0</v>
      </c>
      <c r="L36" s="43">
        <v>2</v>
      </c>
      <c r="M36" s="52">
        <f t="shared" si="5"/>
        <v>56</v>
      </c>
      <c r="N36" s="51">
        <v>12</v>
      </c>
      <c r="O36" s="52">
        <f t="shared" si="6"/>
        <v>172.92000000000002</v>
      </c>
      <c r="P36" s="51"/>
      <c r="Q36" s="52">
        <f t="shared" si="7"/>
        <v>0</v>
      </c>
      <c r="R36" s="43">
        <v>295</v>
      </c>
      <c r="S36" s="52">
        <f t="shared" si="8"/>
        <v>11210</v>
      </c>
      <c r="T36" s="43">
        <v>163</v>
      </c>
      <c r="U36" s="52">
        <f t="shared" si="9"/>
        <v>2348.83</v>
      </c>
      <c r="V36" s="43">
        <v>17</v>
      </c>
      <c r="W36" s="52">
        <f t="shared" si="10"/>
        <v>476</v>
      </c>
      <c r="X36" s="94">
        <f t="shared" si="11"/>
        <v>53839.75</v>
      </c>
      <c r="Y36" s="92">
        <v>45028.87</v>
      </c>
      <c r="Z36" s="44">
        <f t="shared" si="12"/>
        <v>83.634990875700581</v>
      </c>
      <c r="AA36" s="110">
        <v>75</v>
      </c>
      <c r="AB36" s="78">
        <f t="shared" si="13"/>
        <v>2850</v>
      </c>
      <c r="AC36" s="74"/>
      <c r="AD36" s="105">
        <f t="shared" si="14"/>
        <v>0</v>
      </c>
      <c r="AE36" s="110">
        <v>54</v>
      </c>
      <c r="AF36" s="78">
        <f t="shared" si="15"/>
        <v>1080</v>
      </c>
      <c r="AG36" s="74"/>
      <c r="AH36" s="122">
        <f t="shared" si="16"/>
        <v>0</v>
      </c>
      <c r="AI36" s="43">
        <v>10</v>
      </c>
      <c r="AJ36" s="74">
        <v>5461.05</v>
      </c>
      <c r="AK36" s="78">
        <f t="shared" si="17"/>
        <v>546.10500000000002</v>
      </c>
    </row>
    <row r="37" spans="1:37" ht="48" customHeight="1" thickBot="1" x14ac:dyDescent="0.35">
      <c r="A37" s="112" t="s">
        <v>7</v>
      </c>
      <c r="B37" s="113">
        <f t="shared" ref="B37:Y37" si="20">SUM(B6:B36)</f>
        <v>6200</v>
      </c>
      <c r="C37" s="114">
        <f t="shared" si="20"/>
        <v>240684</v>
      </c>
      <c r="D37" s="113">
        <f t="shared" si="20"/>
        <v>6200</v>
      </c>
      <c r="E37" s="114">
        <f t="shared" si="20"/>
        <v>481368</v>
      </c>
      <c r="F37" s="113">
        <f t="shared" si="20"/>
        <v>6200</v>
      </c>
      <c r="G37" s="114">
        <f t="shared" si="20"/>
        <v>481368</v>
      </c>
      <c r="H37" s="113">
        <f t="shared" si="20"/>
        <v>455</v>
      </c>
      <c r="I37" s="114">
        <f t="shared" si="20"/>
        <v>19110</v>
      </c>
      <c r="J37" s="113">
        <f t="shared" si="20"/>
        <v>0</v>
      </c>
      <c r="K37" s="114">
        <f t="shared" si="20"/>
        <v>0</v>
      </c>
      <c r="L37" s="113">
        <f t="shared" si="20"/>
        <v>920</v>
      </c>
      <c r="M37" s="114">
        <f t="shared" si="20"/>
        <v>25760</v>
      </c>
      <c r="N37" s="113">
        <f t="shared" si="20"/>
        <v>311</v>
      </c>
      <c r="O37" s="114">
        <f t="shared" si="20"/>
        <v>4481.5099999999993</v>
      </c>
      <c r="P37" s="113">
        <f t="shared" si="20"/>
        <v>1045</v>
      </c>
      <c r="Q37" s="114">
        <f t="shared" si="20"/>
        <v>39710</v>
      </c>
      <c r="R37" s="113">
        <f t="shared" si="20"/>
        <v>8827</v>
      </c>
      <c r="S37" s="114">
        <f t="shared" si="20"/>
        <v>335426</v>
      </c>
      <c r="T37" s="113">
        <f t="shared" si="20"/>
        <v>3461</v>
      </c>
      <c r="U37" s="114">
        <f t="shared" si="20"/>
        <v>49873.010000000009</v>
      </c>
      <c r="V37" s="113">
        <f t="shared" si="20"/>
        <v>321</v>
      </c>
      <c r="W37" s="114">
        <f t="shared" si="20"/>
        <v>8988</v>
      </c>
      <c r="X37" s="115">
        <f t="shared" si="20"/>
        <v>1686768.5199999998</v>
      </c>
      <c r="Y37" s="116">
        <f t="shared" si="20"/>
        <v>924310.45</v>
      </c>
      <c r="Z37" s="117">
        <f>+Y37/X37*100</f>
        <v>54.797705733801585</v>
      </c>
      <c r="AA37" s="118">
        <f>+SUM(AA6:AA36)</f>
        <v>2325</v>
      </c>
      <c r="AB37" s="119">
        <f>SUM(AB6:AB36)</f>
        <v>88350</v>
      </c>
      <c r="AC37" s="120">
        <f>+SUM(AC6:AC36)</f>
        <v>31470.039999999997</v>
      </c>
      <c r="AD37" s="121">
        <f t="shared" si="14"/>
        <v>35.619739671760044</v>
      </c>
      <c r="AE37" s="118">
        <f>SUM(AE6:AE36)</f>
        <v>1782</v>
      </c>
      <c r="AF37" s="119">
        <f t="shared" ref="AF37:AJ37" si="21">SUM(AF6:AF36)</f>
        <v>35640</v>
      </c>
      <c r="AG37" s="120">
        <f t="shared" si="21"/>
        <v>37900.759999999995</v>
      </c>
      <c r="AH37" s="105">
        <f t="shared" si="16"/>
        <v>106.34332210998876</v>
      </c>
      <c r="AI37" s="120">
        <f t="shared" si="21"/>
        <v>480</v>
      </c>
      <c r="AJ37" s="120">
        <f t="shared" si="21"/>
        <v>31090.019999999997</v>
      </c>
      <c r="AK37" s="78">
        <f>+AJ37/AI37</f>
        <v>64.77087499999999</v>
      </c>
    </row>
    <row r="38" spans="1:37" ht="15.75" thickTop="1" x14ac:dyDescent="0.25"/>
  </sheetData>
  <sheetProtection algorithmName="SHA-512" hashValue="GHtBc6uOJaeFmcSNpCJXkEKtvzwQq4Tu/ZUQGP2kyPzeQ5ghKhdKub0eR49PbrAvbig2rDf8qZR4UayEsJKSbw==" saltValue="JhbaK+YTMi2smkuBbbH3Hw==" spinCount="100000" sheet="1" scenarios="1" sort="0" autoFilter="0"/>
  <mergeCells count="10">
    <mergeCell ref="AI4:AK4"/>
    <mergeCell ref="AE4:AH4"/>
    <mergeCell ref="A1:AH1"/>
    <mergeCell ref="A2:AH2"/>
    <mergeCell ref="A3:AH3"/>
    <mergeCell ref="A4:A5"/>
    <mergeCell ref="R4:W4"/>
    <mergeCell ref="X4:Z4"/>
    <mergeCell ref="AA4:AD4"/>
    <mergeCell ref="B4:Q4"/>
  </mergeCells>
  <pageMargins left="0.11811023622047245" right="0.11811023622047245" top="0.35433070866141736" bottom="0.35433070866141736" header="0.31496062992125984" footer="0.31496062992125984"/>
  <pageSetup scale="4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5AA3-6DA6-4511-9F55-605676C25153}">
  <sheetPr>
    <pageSetUpPr fitToPage="1"/>
  </sheetPr>
  <dimension ref="A1:AU38"/>
  <sheetViews>
    <sheetView zoomScale="85" zoomScaleNormal="85"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AJ6" sqref="AJ6:AJ36"/>
    </sheetView>
  </sheetViews>
  <sheetFormatPr defaultRowHeight="15" x14ac:dyDescent="0.25"/>
  <cols>
    <col min="1" max="1" width="12" customWidth="1"/>
    <col min="2" max="2" width="13" bestFit="1" customWidth="1"/>
    <col min="3" max="3" width="5.140625" hidden="1" customWidth="1"/>
    <col min="4" max="4" width="9.140625" customWidth="1"/>
    <col min="5" max="5" width="6.42578125" hidden="1" customWidth="1"/>
    <col min="6" max="6" width="9.140625" customWidth="1"/>
    <col min="7" max="7" width="7.85546875" hidden="1" customWidth="1"/>
    <col min="8" max="8" width="7.7109375" bestFit="1" customWidth="1"/>
    <col min="9" max="9" width="7" hidden="1" customWidth="1"/>
    <col min="10" max="10" width="7.7109375" bestFit="1" customWidth="1"/>
    <col min="11" max="11" width="9.28515625" hidden="1" customWidth="1"/>
    <col min="12" max="12" width="11.85546875" customWidth="1"/>
    <col min="13" max="13" width="9.28515625" hidden="1" customWidth="1"/>
    <col min="14" max="14" width="9" bestFit="1" customWidth="1"/>
    <col min="15" max="15" width="9.28515625" hidden="1" customWidth="1"/>
    <col min="16" max="16" width="13.140625" customWidth="1"/>
    <col min="17" max="17" width="9.28515625" hidden="1" customWidth="1"/>
    <col min="18" max="18" width="9.28515625" customWidth="1"/>
    <col min="19" max="19" width="9.28515625" hidden="1" customWidth="1"/>
    <col min="20" max="20" width="8.140625" customWidth="1"/>
    <col min="21" max="21" width="9.5703125" hidden="1" customWidth="1"/>
    <col min="22" max="22" width="11.7109375" customWidth="1"/>
    <col min="23" max="23" width="9.28515625" hidden="1" customWidth="1"/>
    <col min="24" max="24" width="13.5703125" style="2" bestFit="1" customWidth="1"/>
    <col min="25" max="25" width="14.28515625" style="2" customWidth="1"/>
    <col min="26" max="26" width="10.7109375" style="2" customWidth="1"/>
    <col min="27" max="27" width="9" style="111" customWidth="1"/>
    <col min="28" max="28" width="10.7109375" hidden="1" customWidth="1"/>
    <col min="29" max="29" width="10.7109375" customWidth="1"/>
    <col min="30" max="30" width="10.140625" bestFit="1" customWidth="1"/>
    <col min="31" max="31" width="11.7109375" customWidth="1"/>
    <col min="32" max="32" width="9.28515625" hidden="1" customWidth="1"/>
    <col min="33" max="33" width="12.28515625" customWidth="1"/>
    <col min="34" max="34" width="10.7109375" customWidth="1"/>
    <col min="35" max="35" width="9.140625" style="2"/>
  </cols>
  <sheetData>
    <row r="1" spans="1:47" ht="48.75" customHeight="1" x14ac:dyDescent="0.25">
      <c r="A1" s="370" t="s">
        <v>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48"/>
      <c r="AJ1" s="138"/>
      <c r="AK1" s="138"/>
    </row>
    <row r="2" spans="1:47" ht="18" customHeight="1" x14ac:dyDescent="0.35">
      <c r="A2" s="371" t="s">
        <v>31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48"/>
      <c r="AJ2" s="138"/>
      <c r="AK2" s="138"/>
    </row>
    <row r="3" spans="1:47" ht="18" customHeight="1" x14ac:dyDescent="0.35">
      <c r="A3" s="371" t="s">
        <v>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48"/>
      <c r="AJ3" s="138"/>
      <c r="AK3" s="138"/>
    </row>
    <row r="4" spans="1:47" ht="30.75" customHeight="1" x14ac:dyDescent="0.25">
      <c r="A4" s="372">
        <v>45658</v>
      </c>
      <c r="B4" s="377" t="s">
        <v>25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4" t="s">
        <v>37</v>
      </c>
      <c r="S4" s="374"/>
      <c r="T4" s="374"/>
      <c r="U4" s="374"/>
      <c r="V4" s="374"/>
      <c r="W4" s="374"/>
      <c r="X4" s="375" t="s">
        <v>39</v>
      </c>
      <c r="Y4" s="375"/>
      <c r="Z4" s="375"/>
      <c r="AA4" s="376" t="s">
        <v>41</v>
      </c>
      <c r="AB4" s="376"/>
      <c r="AC4" s="376"/>
      <c r="AD4" s="376"/>
      <c r="AE4" s="369" t="s">
        <v>56</v>
      </c>
      <c r="AF4" s="369"/>
      <c r="AG4" s="369"/>
      <c r="AH4" s="369"/>
      <c r="AI4" s="366" t="s">
        <v>57</v>
      </c>
      <c r="AJ4" s="367"/>
      <c r="AK4" s="368"/>
    </row>
    <row r="5" spans="1:47" ht="52.5" customHeight="1" x14ac:dyDescent="0.25">
      <c r="A5" s="373"/>
      <c r="B5" s="127" t="s">
        <v>2</v>
      </c>
      <c r="C5" s="127" t="s">
        <v>14</v>
      </c>
      <c r="D5" s="127" t="s">
        <v>3</v>
      </c>
      <c r="E5" s="127" t="s">
        <v>14</v>
      </c>
      <c r="F5" s="127" t="s">
        <v>4</v>
      </c>
      <c r="G5" s="127" t="s">
        <v>14</v>
      </c>
      <c r="H5" s="128" t="s">
        <v>9</v>
      </c>
      <c r="I5" s="128" t="s">
        <v>14</v>
      </c>
      <c r="J5" s="129" t="s">
        <v>19</v>
      </c>
      <c r="K5" s="129" t="s">
        <v>28</v>
      </c>
      <c r="L5" s="129" t="s">
        <v>38</v>
      </c>
      <c r="M5" s="129" t="s">
        <v>28</v>
      </c>
      <c r="N5" s="129" t="s">
        <v>49</v>
      </c>
      <c r="O5" s="129" t="s">
        <v>28</v>
      </c>
      <c r="P5" s="130" t="s">
        <v>53</v>
      </c>
      <c r="Q5" s="129" t="s">
        <v>28</v>
      </c>
      <c r="R5" s="131" t="s">
        <v>40</v>
      </c>
      <c r="S5" s="131" t="s">
        <v>14</v>
      </c>
      <c r="T5" s="131" t="s">
        <v>35</v>
      </c>
      <c r="U5" s="131" t="s">
        <v>28</v>
      </c>
      <c r="V5" s="131" t="s">
        <v>36</v>
      </c>
      <c r="W5" s="131" t="s">
        <v>28</v>
      </c>
      <c r="X5" s="132" t="s">
        <v>13</v>
      </c>
      <c r="Y5" s="133" t="s">
        <v>0</v>
      </c>
      <c r="Z5" s="134" t="s">
        <v>20</v>
      </c>
      <c r="AA5" s="135" t="s">
        <v>42</v>
      </c>
      <c r="AB5" s="136" t="s">
        <v>14</v>
      </c>
      <c r="AC5" s="137" t="s">
        <v>34</v>
      </c>
      <c r="AD5" s="135" t="s">
        <v>43</v>
      </c>
      <c r="AE5" s="139" t="s">
        <v>50</v>
      </c>
      <c r="AF5" s="139" t="s">
        <v>51</v>
      </c>
      <c r="AG5" s="140" t="s">
        <v>52</v>
      </c>
      <c r="AH5" s="140" t="s">
        <v>39</v>
      </c>
      <c r="AI5" s="140" t="s">
        <v>55</v>
      </c>
      <c r="AJ5" s="141" t="s">
        <v>54</v>
      </c>
      <c r="AK5" s="142" t="s">
        <v>16</v>
      </c>
    </row>
    <row r="6" spans="1:47" ht="28.5" customHeight="1" x14ac:dyDescent="0.25">
      <c r="A6" s="55">
        <v>1</v>
      </c>
      <c r="B6" s="51">
        <v>200</v>
      </c>
      <c r="C6" s="52">
        <f>+B6*38.82</f>
        <v>7764</v>
      </c>
      <c r="D6" s="51">
        <v>200</v>
      </c>
      <c r="E6" s="52">
        <f>+D6*77.64</f>
        <v>15528</v>
      </c>
      <c r="F6" s="51">
        <v>200</v>
      </c>
      <c r="G6" s="52">
        <f t="shared" ref="G6:G7" si="0">77.64*F6</f>
        <v>15528</v>
      </c>
      <c r="H6" s="51">
        <v>10</v>
      </c>
      <c r="I6" s="52">
        <f t="shared" ref="I6:I7" si="1">42*H6</f>
        <v>420</v>
      </c>
      <c r="J6" s="51"/>
      <c r="K6" s="52">
        <f>+J6*78</f>
        <v>0</v>
      </c>
      <c r="L6" s="51">
        <v>203</v>
      </c>
      <c r="M6" s="52">
        <f>+L6*28</f>
        <v>5684</v>
      </c>
      <c r="N6" s="51"/>
      <c r="O6" s="52">
        <f>14.41*N6</f>
        <v>0</v>
      </c>
      <c r="P6" s="51"/>
      <c r="Q6" s="52">
        <f>38*P6</f>
        <v>0</v>
      </c>
      <c r="R6" s="51">
        <v>300</v>
      </c>
      <c r="S6" s="52">
        <f>+R6*38</f>
        <v>11400</v>
      </c>
      <c r="T6" s="51">
        <v>163</v>
      </c>
      <c r="U6" s="52">
        <f>+T6*14.41</f>
        <v>2348.83</v>
      </c>
      <c r="V6" s="51">
        <v>18</v>
      </c>
      <c r="W6" s="52">
        <f>+V6*28</f>
        <v>504</v>
      </c>
      <c r="X6" s="94">
        <f>+W6+U6+K6+I6+G6+E6+C6+S6+M6+O6+Q6</f>
        <v>59176.83</v>
      </c>
      <c r="Y6" s="91">
        <v>25979.846457903175</v>
      </c>
      <c r="Z6" s="53">
        <f>+Y6/X6*100</f>
        <v>43.902058386539416</v>
      </c>
      <c r="AA6" s="123">
        <v>75</v>
      </c>
      <c r="AB6" s="124">
        <f>+AA6*38</f>
        <v>2850</v>
      </c>
      <c r="AC6" s="125"/>
      <c r="AD6" s="126">
        <f>+AC6/AB6*100</f>
        <v>0</v>
      </c>
      <c r="AE6" s="123">
        <v>56</v>
      </c>
      <c r="AF6" s="124">
        <f>20*AE6</f>
        <v>1120</v>
      </c>
      <c r="AG6" s="125"/>
      <c r="AH6" s="126">
        <f>+AG6/AF6*100</f>
        <v>0</v>
      </c>
      <c r="AI6" s="51">
        <v>10</v>
      </c>
      <c r="AJ6" s="125">
        <v>765.65163927267099</v>
      </c>
      <c r="AK6" s="124">
        <f>+AJ6/AI6</f>
        <v>76.565163927267093</v>
      </c>
    </row>
    <row r="7" spans="1:47" ht="27" customHeight="1" x14ac:dyDescent="0.25">
      <c r="A7" s="42">
        <v>2</v>
      </c>
      <c r="B7" s="51">
        <v>200</v>
      </c>
      <c r="C7" s="52">
        <f t="shared" ref="C7:C36" si="2">+B7*38.82</f>
        <v>7764</v>
      </c>
      <c r="D7" s="51">
        <v>200</v>
      </c>
      <c r="E7" s="52">
        <f t="shared" ref="E7:E35" si="3">+D7*77.64</f>
        <v>15528</v>
      </c>
      <c r="F7" s="51">
        <v>200</v>
      </c>
      <c r="G7" s="1">
        <f t="shared" si="0"/>
        <v>15528</v>
      </c>
      <c r="H7" s="43">
        <v>9</v>
      </c>
      <c r="I7" s="1">
        <f t="shared" si="1"/>
        <v>378</v>
      </c>
      <c r="J7" s="43"/>
      <c r="K7" s="52">
        <f t="shared" ref="K7:K36" si="4">+J7*78</f>
        <v>0</v>
      </c>
      <c r="L7" s="43">
        <v>0</v>
      </c>
      <c r="M7" s="52">
        <f t="shared" ref="M7:M36" si="5">+L7*28</f>
        <v>0</v>
      </c>
      <c r="N7" s="51"/>
      <c r="O7" s="52">
        <f t="shared" ref="O7:O36" si="6">14.41*N7</f>
        <v>0</v>
      </c>
      <c r="P7" s="51"/>
      <c r="Q7" s="52">
        <f t="shared" ref="Q7:Q36" si="7">38*P7</f>
        <v>0</v>
      </c>
      <c r="R7" s="51">
        <v>305</v>
      </c>
      <c r="S7" s="52">
        <f t="shared" ref="S7:S36" si="8">+R7*38</f>
        <v>11590</v>
      </c>
      <c r="T7" s="51">
        <v>199</v>
      </c>
      <c r="U7" s="52">
        <f t="shared" ref="U7:U36" si="9">+T7*14.41</f>
        <v>2867.59</v>
      </c>
      <c r="V7" s="43">
        <v>18</v>
      </c>
      <c r="W7" s="52">
        <f t="shared" ref="W7:W36" si="10">+V7*28</f>
        <v>504</v>
      </c>
      <c r="X7" s="94">
        <f t="shared" ref="X7:X36" si="11">+W7+U7+K7+I7+G7+E7+C7+S7+M7+O7+Q7</f>
        <v>54159.59</v>
      </c>
      <c r="Y7" s="65">
        <v>26502.893870371889</v>
      </c>
      <c r="Z7" s="44">
        <f t="shared" ref="Z7:Z36" si="12">+Y7/X7*100</f>
        <v>48.934812598049376</v>
      </c>
      <c r="AA7" s="110">
        <v>75</v>
      </c>
      <c r="AB7" s="78">
        <f t="shared" ref="AB7:AB36" si="13">+AA7*38</f>
        <v>2850</v>
      </c>
      <c r="AC7" s="74"/>
      <c r="AD7" s="105">
        <f t="shared" ref="AD7:AD37" si="14">+AC7/AB7*100</f>
        <v>0</v>
      </c>
      <c r="AE7" s="110">
        <v>53</v>
      </c>
      <c r="AF7" s="78">
        <f t="shared" ref="AF7:AF36" si="15">20*AE7</f>
        <v>1060</v>
      </c>
      <c r="AG7" s="74"/>
      <c r="AH7" s="105">
        <f t="shared" ref="AH7:AH37" si="16">+AG7/AF7*100</f>
        <v>0</v>
      </c>
      <c r="AI7" s="43">
        <v>10</v>
      </c>
      <c r="AJ7" s="74">
        <v>1126.771397211405</v>
      </c>
      <c r="AK7" s="78">
        <f t="shared" ref="AK7:AK36" si="17">+AJ7/AI7</f>
        <v>112.67713972114049</v>
      </c>
    </row>
    <row r="8" spans="1:47" ht="26.25" customHeight="1" x14ac:dyDescent="0.25">
      <c r="A8" s="42">
        <v>3</v>
      </c>
      <c r="B8" s="51">
        <v>200</v>
      </c>
      <c r="C8" s="52">
        <f t="shared" si="2"/>
        <v>7764</v>
      </c>
      <c r="D8" s="51">
        <v>200</v>
      </c>
      <c r="E8" s="52">
        <f t="shared" si="3"/>
        <v>15528</v>
      </c>
      <c r="F8" s="51">
        <v>200</v>
      </c>
      <c r="G8" s="1">
        <f>77.64*F8</f>
        <v>15528</v>
      </c>
      <c r="H8" s="43">
        <v>9</v>
      </c>
      <c r="I8" s="1">
        <f>42*H8</f>
        <v>378</v>
      </c>
      <c r="J8" s="43"/>
      <c r="K8" s="52">
        <f t="shared" si="4"/>
        <v>0</v>
      </c>
      <c r="L8" s="43">
        <v>0</v>
      </c>
      <c r="M8" s="52">
        <f t="shared" si="5"/>
        <v>0</v>
      </c>
      <c r="N8" s="51"/>
      <c r="O8" s="52">
        <f t="shared" si="6"/>
        <v>0</v>
      </c>
      <c r="P8" s="51"/>
      <c r="Q8" s="52">
        <f t="shared" si="7"/>
        <v>0</v>
      </c>
      <c r="R8" s="51">
        <v>285</v>
      </c>
      <c r="S8" s="52">
        <f t="shared" si="8"/>
        <v>10830</v>
      </c>
      <c r="T8" s="51">
        <v>53</v>
      </c>
      <c r="U8" s="52">
        <f t="shared" si="9"/>
        <v>763.73</v>
      </c>
      <c r="V8" s="43">
        <v>0</v>
      </c>
      <c r="W8" s="52">
        <f t="shared" si="10"/>
        <v>0</v>
      </c>
      <c r="X8" s="94">
        <f t="shared" si="11"/>
        <v>50791.729999999996</v>
      </c>
      <c r="Y8" s="92">
        <v>21742.070683837068</v>
      </c>
      <c r="Z8" s="44">
        <f t="shared" si="12"/>
        <v>42.80632040656436</v>
      </c>
      <c r="AA8" s="110">
        <v>75</v>
      </c>
      <c r="AB8" s="78">
        <f t="shared" si="13"/>
        <v>2850</v>
      </c>
      <c r="AC8" s="74"/>
      <c r="AD8" s="105">
        <f t="shared" si="14"/>
        <v>0</v>
      </c>
      <c r="AE8" s="110">
        <v>51</v>
      </c>
      <c r="AF8" s="78">
        <f t="shared" si="15"/>
        <v>1020</v>
      </c>
      <c r="AG8" s="74"/>
      <c r="AH8" s="105">
        <f t="shared" si="16"/>
        <v>0</v>
      </c>
      <c r="AI8" s="43">
        <v>10</v>
      </c>
      <c r="AJ8" s="74">
        <v>1065.4460561966259</v>
      </c>
      <c r="AK8" s="78">
        <f t="shared" si="17"/>
        <v>106.54460561966259</v>
      </c>
    </row>
    <row r="9" spans="1:47" ht="29.25" customHeight="1" x14ac:dyDescent="0.25">
      <c r="A9" s="42">
        <v>4</v>
      </c>
      <c r="B9" s="51">
        <v>200</v>
      </c>
      <c r="C9" s="51">
        <f t="shared" si="2"/>
        <v>7764</v>
      </c>
      <c r="D9" s="51">
        <v>200</v>
      </c>
      <c r="E9" s="51">
        <f t="shared" si="3"/>
        <v>15528</v>
      </c>
      <c r="F9" s="51">
        <v>200</v>
      </c>
      <c r="G9" s="1">
        <f t="shared" ref="G9:G36" si="18">77.64*F9</f>
        <v>15528</v>
      </c>
      <c r="H9" s="43">
        <v>4</v>
      </c>
      <c r="I9" s="1">
        <f t="shared" ref="I9:I36" si="19">42*H9</f>
        <v>168</v>
      </c>
      <c r="J9" s="43"/>
      <c r="K9" s="52">
        <f t="shared" si="4"/>
        <v>0</v>
      </c>
      <c r="L9" s="43">
        <v>0</v>
      </c>
      <c r="M9" s="52">
        <f t="shared" si="5"/>
        <v>0</v>
      </c>
      <c r="N9" s="51"/>
      <c r="O9" s="52">
        <f t="shared" si="6"/>
        <v>0</v>
      </c>
      <c r="P9" s="51"/>
      <c r="Q9" s="52">
        <f t="shared" si="7"/>
        <v>0</v>
      </c>
      <c r="R9" s="51">
        <v>285</v>
      </c>
      <c r="S9" s="52">
        <f t="shared" si="8"/>
        <v>10830</v>
      </c>
      <c r="T9" s="51">
        <v>53</v>
      </c>
      <c r="U9" s="52">
        <f t="shared" si="9"/>
        <v>763.73</v>
      </c>
      <c r="V9" s="43">
        <v>0</v>
      </c>
      <c r="W9" s="52">
        <f t="shared" si="10"/>
        <v>0</v>
      </c>
      <c r="X9" s="94">
        <f t="shared" si="11"/>
        <v>50581.729999999996</v>
      </c>
      <c r="Y9" s="92">
        <v>16361.586158712285</v>
      </c>
      <c r="Z9" s="44">
        <f t="shared" si="12"/>
        <v>32.346829890381933</v>
      </c>
      <c r="AA9" s="110">
        <v>75</v>
      </c>
      <c r="AB9" s="78">
        <f t="shared" si="13"/>
        <v>2850</v>
      </c>
      <c r="AC9" s="74">
        <v>7147.69</v>
      </c>
      <c r="AD9" s="105">
        <f t="shared" si="14"/>
        <v>250.79614035087715</v>
      </c>
      <c r="AE9" s="110">
        <v>52</v>
      </c>
      <c r="AF9" s="78">
        <f t="shared" si="15"/>
        <v>1040</v>
      </c>
      <c r="AG9" s="74">
        <v>3621.2238978792266</v>
      </c>
      <c r="AH9" s="105">
        <f t="shared" si="16"/>
        <v>348.19460556531021</v>
      </c>
      <c r="AI9" s="43">
        <v>10</v>
      </c>
      <c r="AJ9" s="74">
        <v>1191.7135504241235</v>
      </c>
      <c r="AK9" s="78">
        <f t="shared" si="17"/>
        <v>119.17135504241234</v>
      </c>
    </row>
    <row r="10" spans="1:47" ht="28.5" customHeight="1" x14ac:dyDescent="0.25">
      <c r="A10" s="42">
        <v>5</v>
      </c>
      <c r="B10" s="51">
        <v>200</v>
      </c>
      <c r="C10" s="51">
        <f t="shared" si="2"/>
        <v>7764</v>
      </c>
      <c r="D10" s="51">
        <v>200</v>
      </c>
      <c r="E10" s="51">
        <f t="shared" si="3"/>
        <v>15528</v>
      </c>
      <c r="F10" s="51">
        <v>200</v>
      </c>
      <c r="G10" s="1">
        <f t="shared" si="18"/>
        <v>15528</v>
      </c>
      <c r="H10" s="43">
        <v>12</v>
      </c>
      <c r="I10" s="1">
        <f t="shared" si="19"/>
        <v>504</v>
      </c>
      <c r="J10" s="43"/>
      <c r="K10" s="52">
        <f t="shared" si="4"/>
        <v>0</v>
      </c>
      <c r="L10" s="43">
        <v>2</v>
      </c>
      <c r="M10" s="52">
        <f t="shared" si="5"/>
        <v>56</v>
      </c>
      <c r="N10" s="51"/>
      <c r="O10" s="52">
        <f t="shared" si="6"/>
        <v>0</v>
      </c>
      <c r="P10" s="51"/>
      <c r="Q10" s="52">
        <f t="shared" si="7"/>
        <v>0</v>
      </c>
      <c r="R10" s="51">
        <v>280</v>
      </c>
      <c r="S10" s="52">
        <f t="shared" si="8"/>
        <v>10640</v>
      </c>
      <c r="T10" s="51">
        <v>53</v>
      </c>
      <c r="U10" s="52">
        <f t="shared" si="9"/>
        <v>763.73</v>
      </c>
      <c r="V10" s="43">
        <v>0</v>
      </c>
      <c r="W10" s="52">
        <f t="shared" si="10"/>
        <v>0</v>
      </c>
      <c r="X10" s="94">
        <f t="shared" si="11"/>
        <v>50783.729999999996</v>
      </c>
      <c r="Y10" s="92">
        <v>18972.929659078865</v>
      </c>
      <c r="Z10" s="44">
        <f t="shared" si="12"/>
        <v>37.360252307341085</v>
      </c>
      <c r="AA10" s="110">
        <v>75</v>
      </c>
      <c r="AB10" s="78">
        <f t="shared" si="13"/>
        <v>2850</v>
      </c>
      <c r="AC10" s="74"/>
      <c r="AD10" s="105">
        <f t="shared" si="14"/>
        <v>0</v>
      </c>
      <c r="AE10" s="110">
        <v>51</v>
      </c>
      <c r="AF10" s="78">
        <f t="shared" si="15"/>
        <v>1020</v>
      </c>
      <c r="AG10" s="74"/>
      <c r="AH10" s="105">
        <f t="shared" si="16"/>
        <v>0</v>
      </c>
      <c r="AI10" s="43">
        <v>10</v>
      </c>
      <c r="AJ10" s="74">
        <v>950.76486012347914</v>
      </c>
      <c r="AK10" s="78">
        <f t="shared" si="17"/>
        <v>95.076486012347914</v>
      </c>
    </row>
    <row r="11" spans="1:47" ht="26.25" customHeight="1" x14ac:dyDescent="0.25">
      <c r="A11" s="42">
        <v>6</v>
      </c>
      <c r="B11" s="51">
        <v>200</v>
      </c>
      <c r="C11" s="51">
        <f t="shared" si="2"/>
        <v>7764</v>
      </c>
      <c r="D11" s="51">
        <v>200</v>
      </c>
      <c r="E11" s="51">
        <f t="shared" si="3"/>
        <v>15528</v>
      </c>
      <c r="F11" s="51">
        <v>200</v>
      </c>
      <c r="G11" s="1">
        <f t="shared" si="18"/>
        <v>15528</v>
      </c>
      <c r="H11" s="43">
        <v>17</v>
      </c>
      <c r="I11" s="1">
        <f t="shared" si="19"/>
        <v>714</v>
      </c>
      <c r="J11" s="43"/>
      <c r="K11" s="52">
        <f t="shared" si="4"/>
        <v>0</v>
      </c>
      <c r="L11" s="43">
        <v>140</v>
      </c>
      <c r="M11" s="52">
        <f t="shared" si="5"/>
        <v>3920</v>
      </c>
      <c r="N11" s="51">
        <v>105</v>
      </c>
      <c r="O11" s="52">
        <f t="shared" si="6"/>
        <v>1513.05</v>
      </c>
      <c r="P11" s="51">
        <v>105</v>
      </c>
      <c r="Q11" s="52">
        <f t="shared" si="7"/>
        <v>3990</v>
      </c>
      <c r="R11" s="51">
        <v>305</v>
      </c>
      <c r="S11" s="52">
        <f t="shared" si="8"/>
        <v>11590</v>
      </c>
      <c r="T11" s="43">
        <v>199</v>
      </c>
      <c r="U11" s="52">
        <f t="shared" si="9"/>
        <v>2867.59</v>
      </c>
      <c r="V11" s="43">
        <v>18</v>
      </c>
      <c r="W11" s="52">
        <f t="shared" si="10"/>
        <v>504</v>
      </c>
      <c r="X11" s="94">
        <f t="shared" si="11"/>
        <v>63918.64</v>
      </c>
      <c r="Y11" s="92">
        <v>28002.908942525784</v>
      </c>
      <c r="Z11" s="44">
        <f t="shared" si="12"/>
        <v>43.810238989011317</v>
      </c>
      <c r="AA11" s="110">
        <v>75</v>
      </c>
      <c r="AB11" s="78">
        <f t="shared" si="13"/>
        <v>2850</v>
      </c>
      <c r="AC11" s="74"/>
      <c r="AD11" s="105">
        <f t="shared" si="14"/>
        <v>0</v>
      </c>
      <c r="AE11" s="110">
        <v>58</v>
      </c>
      <c r="AF11" s="78">
        <f t="shared" si="15"/>
        <v>1160</v>
      </c>
      <c r="AG11" s="74">
        <v>72.510431314779069</v>
      </c>
      <c r="AH11" s="105">
        <f t="shared" si="16"/>
        <v>6.2508992512740571</v>
      </c>
      <c r="AI11" s="43">
        <v>10</v>
      </c>
      <c r="AJ11" s="74">
        <v>1036.8766489989478</v>
      </c>
      <c r="AK11" s="78">
        <f t="shared" si="17"/>
        <v>103.68766489989477</v>
      </c>
    </row>
    <row r="12" spans="1:47" ht="33.75" customHeight="1" x14ac:dyDescent="0.25">
      <c r="A12" s="42">
        <v>7</v>
      </c>
      <c r="B12" s="51">
        <v>200</v>
      </c>
      <c r="C12" s="51">
        <f t="shared" si="2"/>
        <v>7764</v>
      </c>
      <c r="D12" s="51">
        <v>200</v>
      </c>
      <c r="E12" s="51">
        <f t="shared" si="3"/>
        <v>15528</v>
      </c>
      <c r="F12" s="51">
        <v>200</v>
      </c>
      <c r="G12" s="1">
        <f t="shared" si="18"/>
        <v>15528</v>
      </c>
      <c r="H12" s="43">
        <v>14</v>
      </c>
      <c r="I12" s="1">
        <f t="shared" si="19"/>
        <v>588</v>
      </c>
      <c r="J12" s="43"/>
      <c r="K12" s="52">
        <f t="shared" si="4"/>
        <v>0</v>
      </c>
      <c r="L12" s="43">
        <v>2</v>
      </c>
      <c r="M12" s="52">
        <f t="shared" si="5"/>
        <v>56</v>
      </c>
      <c r="N12" s="51">
        <v>10</v>
      </c>
      <c r="O12" s="52">
        <f t="shared" si="6"/>
        <v>144.1</v>
      </c>
      <c r="P12" s="51">
        <v>105</v>
      </c>
      <c r="Q12" s="52">
        <f t="shared" si="7"/>
        <v>3990</v>
      </c>
      <c r="R12" s="51">
        <v>305</v>
      </c>
      <c r="S12" s="52">
        <f t="shared" si="8"/>
        <v>11590</v>
      </c>
      <c r="T12" s="43">
        <v>199</v>
      </c>
      <c r="U12" s="52">
        <f t="shared" si="9"/>
        <v>2867.59</v>
      </c>
      <c r="V12" s="43">
        <v>18</v>
      </c>
      <c r="W12" s="52">
        <f t="shared" si="10"/>
        <v>504</v>
      </c>
      <c r="X12" s="94">
        <f t="shared" si="11"/>
        <v>58559.689999999995</v>
      </c>
      <c r="Y12" s="92">
        <v>29646.321793346728</v>
      </c>
      <c r="Z12" s="44">
        <f t="shared" si="12"/>
        <v>50.625817509188884</v>
      </c>
      <c r="AA12" s="110">
        <v>75</v>
      </c>
      <c r="AB12" s="78">
        <f t="shared" si="13"/>
        <v>2850</v>
      </c>
      <c r="AC12" s="74"/>
      <c r="AD12" s="105">
        <f t="shared" si="14"/>
        <v>0</v>
      </c>
      <c r="AE12" s="110">
        <v>56</v>
      </c>
      <c r="AF12" s="78">
        <f t="shared" si="15"/>
        <v>1120</v>
      </c>
      <c r="AG12" s="74">
        <v>3045.2089143464409</v>
      </c>
      <c r="AH12" s="105">
        <f t="shared" si="16"/>
        <v>271.89365306664655</v>
      </c>
      <c r="AI12" s="43">
        <v>10</v>
      </c>
      <c r="AJ12" s="74">
        <v>776.4212872610874</v>
      </c>
      <c r="AK12" s="78">
        <f t="shared" si="17"/>
        <v>77.642128726108737</v>
      </c>
    </row>
    <row r="13" spans="1:47" ht="30" customHeight="1" x14ac:dyDescent="0.25">
      <c r="A13" s="47">
        <v>8</v>
      </c>
      <c r="B13" s="51">
        <v>200</v>
      </c>
      <c r="C13" s="51">
        <f t="shared" si="2"/>
        <v>7764</v>
      </c>
      <c r="D13" s="51">
        <v>210</v>
      </c>
      <c r="E13" s="51">
        <f t="shared" si="3"/>
        <v>16304.4</v>
      </c>
      <c r="F13" s="51">
        <v>205</v>
      </c>
      <c r="G13" s="49">
        <f t="shared" si="18"/>
        <v>15916.2</v>
      </c>
      <c r="H13" s="48">
        <v>7</v>
      </c>
      <c r="I13" s="49">
        <f t="shared" si="19"/>
        <v>294</v>
      </c>
      <c r="J13" s="43"/>
      <c r="K13" s="52">
        <f t="shared" si="4"/>
        <v>0</v>
      </c>
      <c r="L13" s="43">
        <v>2</v>
      </c>
      <c r="M13" s="52">
        <f t="shared" si="5"/>
        <v>56</v>
      </c>
      <c r="N13" s="51">
        <v>10</v>
      </c>
      <c r="O13" s="52">
        <f t="shared" si="6"/>
        <v>144.1</v>
      </c>
      <c r="P13" s="51">
        <v>105</v>
      </c>
      <c r="Q13" s="52">
        <f t="shared" si="7"/>
        <v>3990</v>
      </c>
      <c r="R13" s="51">
        <v>305</v>
      </c>
      <c r="S13" s="52">
        <f t="shared" si="8"/>
        <v>11590</v>
      </c>
      <c r="T13" s="43">
        <v>199</v>
      </c>
      <c r="U13" s="52">
        <f t="shared" si="9"/>
        <v>2867.59</v>
      </c>
      <c r="V13" s="48">
        <v>18</v>
      </c>
      <c r="W13" s="52">
        <f t="shared" si="10"/>
        <v>504</v>
      </c>
      <c r="X13" s="94">
        <f t="shared" si="11"/>
        <v>59430.29</v>
      </c>
      <c r="Y13" s="92">
        <v>33706.932948133894</v>
      </c>
      <c r="Z13" s="44">
        <f t="shared" si="12"/>
        <v>56.71675663728697</v>
      </c>
      <c r="AA13" s="110">
        <v>75</v>
      </c>
      <c r="AB13" s="78">
        <f t="shared" si="13"/>
        <v>2850</v>
      </c>
      <c r="AC13" s="74"/>
      <c r="AD13" s="105">
        <f t="shared" si="14"/>
        <v>0</v>
      </c>
      <c r="AE13" s="110">
        <v>54</v>
      </c>
      <c r="AF13" s="78">
        <f t="shared" si="15"/>
        <v>1080</v>
      </c>
      <c r="AG13" s="74">
        <v>49.994140111742254</v>
      </c>
      <c r="AH13" s="105">
        <f t="shared" si="16"/>
        <v>4.6290870473835417</v>
      </c>
      <c r="AI13" s="43">
        <v>10</v>
      </c>
      <c r="AJ13" s="74">
        <v>1018.8292861842967</v>
      </c>
      <c r="AK13" s="78">
        <f t="shared" si="17"/>
        <v>101.88292861842967</v>
      </c>
    </row>
    <row r="14" spans="1:47" ht="28.5" customHeight="1" x14ac:dyDescent="0.25">
      <c r="A14" s="42">
        <v>9</v>
      </c>
      <c r="B14" s="51">
        <v>200</v>
      </c>
      <c r="C14" s="51">
        <f t="shared" ref="C14" si="20">+B14*38.82</f>
        <v>7764</v>
      </c>
      <c r="D14" s="51">
        <v>210</v>
      </c>
      <c r="E14" s="51">
        <f t="shared" ref="E14" si="21">+D14*77.64</f>
        <v>16304.4</v>
      </c>
      <c r="F14" s="51">
        <v>205</v>
      </c>
      <c r="G14" s="1">
        <f t="shared" si="18"/>
        <v>15916.2</v>
      </c>
      <c r="H14" s="43">
        <v>12</v>
      </c>
      <c r="I14" s="1">
        <f t="shared" si="19"/>
        <v>504</v>
      </c>
      <c r="J14" s="43"/>
      <c r="K14" s="52">
        <f t="shared" si="4"/>
        <v>0</v>
      </c>
      <c r="L14" s="43">
        <v>2</v>
      </c>
      <c r="M14" s="52">
        <f t="shared" si="5"/>
        <v>56</v>
      </c>
      <c r="N14" s="51">
        <v>10</v>
      </c>
      <c r="O14" s="52">
        <f t="shared" si="6"/>
        <v>144.1</v>
      </c>
      <c r="P14" s="51"/>
      <c r="Q14" s="52">
        <f t="shared" si="7"/>
        <v>0</v>
      </c>
      <c r="R14" s="51">
        <v>305</v>
      </c>
      <c r="S14" s="52">
        <f t="shared" si="8"/>
        <v>11590</v>
      </c>
      <c r="T14" s="43">
        <v>199</v>
      </c>
      <c r="U14" s="52">
        <f t="shared" si="9"/>
        <v>2867.59</v>
      </c>
      <c r="V14" s="48">
        <v>15</v>
      </c>
      <c r="W14" s="52">
        <f t="shared" si="10"/>
        <v>420</v>
      </c>
      <c r="X14" s="94">
        <f t="shared" si="11"/>
        <v>55566.29</v>
      </c>
      <c r="Y14" s="92">
        <v>32297.028678909017</v>
      </c>
      <c r="Z14" s="44">
        <f t="shared" si="12"/>
        <v>58.123421014627787</v>
      </c>
      <c r="AA14" s="110">
        <v>75</v>
      </c>
      <c r="AB14" s="78">
        <f t="shared" si="13"/>
        <v>2850</v>
      </c>
      <c r="AC14" s="74"/>
      <c r="AD14" s="105">
        <f t="shared" si="14"/>
        <v>0</v>
      </c>
      <c r="AE14" s="110">
        <v>54</v>
      </c>
      <c r="AF14" s="78">
        <f t="shared" si="15"/>
        <v>1080</v>
      </c>
      <c r="AG14" s="74">
        <v>1181.7998941792098</v>
      </c>
      <c r="AH14" s="105">
        <f t="shared" si="16"/>
        <v>109.4259161277046</v>
      </c>
      <c r="AI14" s="43">
        <v>10</v>
      </c>
      <c r="AJ14" s="74">
        <v>987.01426170060688</v>
      </c>
      <c r="AK14" s="78">
        <f t="shared" si="17"/>
        <v>98.701426170060685</v>
      </c>
    </row>
    <row r="15" spans="1:47" ht="33" customHeight="1" x14ac:dyDescent="0.25">
      <c r="A15" s="42">
        <v>10</v>
      </c>
      <c r="B15" s="51">
        <v>85</v>
      </c>
      <c r="C15" s="51">
        <f t="shared" si="2"/>
        <v>3299.7</v>
      </c>
      <c r="D15" s="51">
        <v>95</v>
      </c>
      <c r="E15" s="51">
        <f t="shared" si="3"/>
        <v>7375.8</v>
      </c>
      <c r="F15" s="51">
        <v>85</v>
      </c>
      <c r="G15" s="1">
        <f t="shared" si="18"/>
        <v>6599.4</v>
      </c>
      <c r="H15" s="43">
        <v>9</v>
      </c>
      <c r="I15" s="1">
        <f t="shared" si="19"/>
        <v>378</v>
      </c>
      <c r="J15" s="43"/>
      <c r="K15" s="52">
        <f t="shared" si="4"/>
        <v>0</v>
      </c>
      <c r="L15" s="43">
        <v>2</v>
      </c>
      <c r="M15" s="52">
        <f t="shared" si="5"/>
        <v>56</v>
      </c>
      <c r="N15" s="51">
        <v>5</v>
      </c>
      <c r="O15" s="52">
        <f t="shared" si="6"/>
        <v>72.05</v>
      </c>
      <c r="P15" s="51"/>
      <c r="Q15" s="52">
        <f t="shared" si="7"/>
        <v>0</v>
      </c>
      <c r="R15" s="51">
        <v>280</v>
      </c>
      <c r="S15" s="52">
        <f t="shared" si="8"/>
        <v>10640</v>
      </c>
      <c r="T15" s="43">
        <v>53</v>
      </c>
      <c r="U15" s="52">
        <f t="shared" si="9"/>
        <v>763.73</v>
      </c>
      <c r="V15" s="48">
        <v>0</v>
      </c>
      <c r="W15" s="52">
        <f t="shared" si="10"/>
        <v>0</v>
      </c>
      <c r="X15" s="94">
        <f t="shared" si="11"/>
        <v>29184.68</v>
      </c>
      <c r="Y15" s="92">
        <v>14525.331236121676</v>
      </c>
      <c r="Z15" s="44">
        <f t="shared" si="12"/>
        <v>49.770397469225898</v>
      </c>
      <c r="AA15" s="110">
        <v>75</v>
      </c>
      <c r="AB15" s="78">
        <f t="shared" si="13"/>
        <v>2850</v>
      </c>
      <c r="AC15" s="74"/>
      <c r="AD15" s="105">
        <f t="shared" si="14"/>
        <v>0</v>
      </c>
      <c r="AE15" s="110">
        <v>51</v>
      </c>
      <c r="AF15" s="78">
        <f t="shared" si="15"/>
        <v>1020</v>
      </c>
      <c r="AG15" s="74"/>
      <c r="AH15" s="105">
        <f t="shared" si="16"/>
        <v>0</v>
      </c>
      <c r="AI15" s="43">
        <v>10</v>
      </c>
      <c r="AJ15" s="74">
        <v>600.62562557390629</v>
      </c>
      <c r="AK15" s="78">
        <f t="shared" si="17"/>
        <v>60.062562557390628</v>
      </c>
    </row>
    <row r="16" spans="1:47" ht="30" customHeight="1" x14ac:dyDescent="0.25">
      <c r="A16" s="42">
        <v>11</v>
      </c>
      <c r="B16" s="51">
        <v>85</v>
      </c>
      <c r="C16" s="51">
        <f t="shared" ref="C16" si="22">+B16*38.82</f>
        <v>3299.7</v>
      </c>
      <c r="D16" s="51">
        <v>95</v>
      </c>
      <c r="E16" s="51">
        <f t="shared" ref="E16" si="23">+D16*77.64</f>
        <v>7375.8</v>
      </c>
      <c r="F16" s="51">
        <v>85</v>
      </c>
      <c r="G16" s="1">
        <f t="shared" si="18"/>
        <v>6599.4</v>
      </c>
      <c r="H16" s="43">
        <v>0</v>
      </c>
      <c r="I16" s="1">
        <f t="shared" si="19"/>
        <v>0</v>
      </c>
      <c r="J16" s="43"/>
      <c r="K16" s="52">
        <f t="shared" si="4"/>
        <v>0</v>
      </c>
      <c r="L16" s="43">
        <v>2</v>
      </c>
      <c r="M16" s="52">
        <f t="shared" si="5"/>
        <v>56</v>
      </c>
      <c r="N16" s="51">
        <v>5</v>
      </c>
      <c r="O16" s="52">
        <f t="shared" si="6"/>
        <v>72.05</v>
      </c>
      <c r="P16" s="51"/>
      <c r="Q16" s="52">
        <f t="shared" si="7"/>
        <v>0</v>
      </c>
      <c r="R16" s="51">
        <v>280</v>
      </c>
      <c r="S16" s="52">
        <f t="shared" si="8"/>
        <v>10640</v>
      </c>
      <c r="T16" s="43">
        <v>53</v>
      </c>
      <c r="U16" s="52">
        <f t="shared" si="9"/>
        <v>763.73</v>
      </c>
      <c r="V16" s="43">
        <v>0</v>
      </c>
      <c r="W16" s="52">
        <f t="shared" si="10"/>
        <v>0</v>
      </c>
      <c r="X16" s="94">
        <f t="shared" si="11"/>
        <v>28806.68</v>
      </c>
      <c r="Y16" s="92">
        <v>22111.399317250645</v>
      </c>
      <c r="Z16" s="44">
        <f t="shared" si="12"/>
        <v>76.757888507980255</v>
      </c>
      <c r="AA16" s="110">
        <v>75</v>
      </c>
      <c r="AB16" s="78">
        <f t="shared" si="13"/>
        <v>2850</v>
      </c>
      <c r="AC16" s="74">
        <v>7807.11</v>
      </c>
      <c r="AD16" s="105">
        <f t="shared" si="14"/>
        <v>273.93368421052628</v>
      </c>
      <c r="AE16" s="110">
        <v>51</v>
      </c>
      <c r="AF16" s="78">
        <f t="shared" si="15"/>
        <v>1020</v>
      </c>
      <c r="AG16" s="74">
        <v>4369.9576811298502</v>
      </c>
      <c r="AH16" s="105">
        <f t="shared" si="16"/>
        <v>428.42722364018141</v>
      </c>
      <c r="AI16" s="43">
        <v>10</v>
      </c>
      <c r="AJ16" s="74">
        <v>870.74384395326854</v>
      </c>
      <c r="AK16" s="78">
        <f t="shared" si="17"/>
        <v>87.074384395326859</v>
      </c>
      <c r="AQ16" s="51">
        <v>85</v>
      </c>
      <c r="AR16" s="51"/>
      <c r="AS16" s="51">
        <v>95</v>
      </c>
      <c r="AT16" s="51"/>
      <c r="AU16" s="51">
        <v>85</v>
      </c>
    </row>
    <row r="17" spans="1:47" ht="32.25" customHeight="1" x14ac:dyDescent="0.25">
      <c r="A17" s="42">
        <v>12</v>
      </c>
      <c r="B17" s="51">
        <v>200</v>
      </c>
      <c r="C17" s="51">
        <f t="shared" si="2"/>
        <v>7764</v>
      </c>
      <c r="D17" s="51">
        <v>210</v>
      </c>
      <c r="E17" s="51">
        <f t="shared" si="3"/>
        <v>16304.4</v>
      </c>
      <c r="F17" s="51">
        <v>205</v>
      </c>
      <c r="G17" s="1">
        <f t="shared" si="18"/>
        <v>15916.2</v>
      </c>
      <c r="H17" s="43">
        <v>13</v>
      </c>
      <c r="I17" s="1">
        <f t="shared" si="19"/>
        <v>546</v>
      </c>
      <c r="J17" s="43"/>
      <c r="K17" s="52">
        <f t="shared" si="4"/>
        <v>0</v>
      </c>
      <c r="L17" s="43">
        <v>136</v>
      </c>
      <c r="M17" s="52">
        <f t="shared" si="5"/>
        <v>3808</v>
      </c>
      <c r="N17" s="51">
        <v>12</v>
      </c>
      <c r="O17" s="52">
        <f t="shared" si="6"/>
        <v>172.92000000000002</v>
      </c>
      <c r="P17" s="51"/>
      <c r="Q17" s="52">
        <f t="shared" si="7"/>
        <v>0</v>
      </c>
      <c r="R17" s="51">
        <v>305</v>
      </c>
      <c r="S17" s="52">
        <f t="shared" si="8"/>
        <v>11590</v>
      </c>
      <c r="T17" s="43">
        <v>199</v>
      </c>
      <c r="U17" s="52">
        <f t="shared" si="9"/>
        <v>2867.59</v>
      </c>
      <c r="V17" s="43">
        <v>15</v>
      </c>
      <c r="W17" s="52">
        <f t="shared" si="10"/>
        <v>420</v>
      </c>
      <c r="X17" s="94">
        <f t="shared" si="11"/>
        <v>59389.11</v>
      </c>
      <c r="Y17" s="92">
        <v>33026.483455539135</v>
      </c>
      <c r="Z17" s="44">
        <f t="shared" si="12"/>
        <v>55.610335725757018</v>
      </c>
      <c r="AA17" s="110">
        <v>75</v>
      </c>
      <c r="AB17" s="78">
        <f t="shared" si="13"/>
        <v>2850</v>
      </c>
      <c r="AC17" s="104"/>
      <c r="AD17" s="105">
        <f t="shared" si="14"/>
        <v>0</v>
      </c>
      <c r="AE17" s="110">
        <v>51</v>
      </c>
      <c r="AF17" s="78">
        <f t="shared" si="15"/>
        <v>1020</v>
      </c>
      <c r="AG17" s="74"/>
      <c r="AH17" s="105">
        <f t="shared" si="16"/>
        <v>0</v>
      </c>
      <c r="AI17" s="43">
        <v>10</v>
      </c>
      <c r="AJ17" s="74">
        <v>1024.6196194595402</v>
      </c>
      <c r="AK17" s="78">
        <f t="shared" si="17"/>
        <v>102.46196194595402</v>
      </c>
      <c r="AQ17" s="51">
        <v>85</v>
      </c>
      <c r="AR17" s="51"/>
      <c r="AS17" s="51">
        <v>95</v>
      </c>
      <c r="AT17" s="51"/>
      <c r="AU17" s="51">
        <v>85</v>
      </c>
    </row>
    <row r="18" spans="1:47" ht="29.25" customHeight="1" x14ac:dyDescent="0.25">
      <c r="A18" s="42">
        <v>13</v>
      </c>
      <c r="B18" s="51">
        <v>200</v>
      </c>
      <c r="C18" s="51">
        <f t="shared" si="2"/>
        <v>7764</v>
      </c>
      <c r="D18" s="51">
        <v>210</v>
      </c>
      <c r="E18" s="51">
        <f t="shared" si="3"/>
        <v>16304.4</v>
      </c>
      <c r="F18" s="51">
        <v>205</v>
      </c>
      <c r="G18" s="1">
        <f t="shared" si="18"/>
        <v>15916.2</v>
      </c>
      <c r="H18" s="43">
        <v>17</v>
      </c>
      <c r="I18" s="1">
        <f t="shared" si="19"/>
        <v>714</v>
      </c>
      <c r="J18" s="43"/>
      <c r="K18" s="52">
        <f t="shared" si="4"/>
        <v>0</v>
      </c>
      <c r="L18" s="43">
        <v>2</v>
      </c>
      <c r="M18" s="52">
        <f t="shared" si="5"/>
        <v>56</v>
      </c>
      <c r="N18" s="51">
        <v>10</v>
      </c>
      <c r="O18" s="52">
        <f t="shared" si="6"/>
        <v>144.1</v>
      </c>
      <c r="P18" s="51"/>
      <c r="Q18" s="52">
        <f t="shared" si="7"/>
        <v>0</v>
      </c>
      <c r="R18" s="51">
        <v>300</v>
      </c>
      <c r="S18" s="52">
        <f t="shared" si="8"/>
        <v>11400</v>
      </c>
      <c r="T18" s="43">
        <v>199</v>
      </c>
      <c r="U18" s="52">
        <f t="shared" si="9"/>
        <v>2867.59</v>
      </c>
      <c r="V18" s="43">
        <v>18</v>
      </c>
      <c r="W18" s="52">
        <f t="shared" si="10"/>
        <v>504</v>
      </c>
      <c r="X18" s="94">
        <f t="shared" si="11"/>
        <v>55670.29</v>
      </c>
      <c r="Y18" s="92">
        <v>36587.255651648251</v>
      </c>
      <c r="Z18" s="44">
        <f t="shared" si="12"/>
        <v>65.721331165417411</v>
      </c>
      <c r="AA18" s="110">
        <v>75</v>
      </c>
      <c r="AB18" s="78">
        <f t="shared" si="13"/>
        <v>2850</v>
      </c>
      <c r="AC18" s="74"/>
      <c r="AD18" s="105">
        <f t="shared" si="14"/>
        <v>0</v>
      </c>
      <c r="AE18" s="110">
        <v>53</v>
      </c>
      <c r="AF18" s="78">
        <f t="shared" si="15"/>
        <v>1060</v>
      </c>
      <c r="AG18" s="74"/>
      <c r="AH18" s="105">
        <f t="shared" si="16"/>
        <v>0</v>
      </c>
      <c r="AI18" s="43">
        <v>10</v>
      </c>
      <c r="AJ18" s="74">
        <v>1104.4691033669412</v>
      </c>
      <c r="AK18" s="78">
        <f t="shared" si="17"/>
        <v>110.44691033669412</v>
      </c>
    </row>
    <row r="19" spans="1:47" ht="27.75" customHeight="1" x14ac:dyDescent="0.25">
      <c r="A19" s="42">
        <v>14</v>
      </c>
      <c r="B19" s="51">
        <v>200</v>
      </c>
      <c r="C19" s="51">
        <f t="shared" si="2"/>
        <v>7764</v>
      </c>
      <c r="D19" s="51">
        <v>210</v>
      </c>
      <c r="E19" s="51">
        <f t="shared" si="3"/>
        <v>16304.4</v>
      </c>
      <c r="F19" s="51">
        <v>205</v>
      </c>
      <c r="G19" s="1">
        <f t="shared" si="18"/>
        <v>15916.2</v>
      </c>
      <c r="H19" s="43">
        <v>20</v>
      </c>
      <c r="I19" s="1">
        <f t="shared" si="19"/>
        <v>840</v>
      </c>
      <c r="J19" s="43"/>
      <c r="K19" s="52">
        <f t="shared" si="4"/>
        <v>0</v>
      </c>
      <c r="L19" s="43">
        <v>2</v>
      </c>
      <c r="M19" s="52">
        <f t="shared" si="5"/>
        <v>56</v>
      </c>
      <c r="N19" s="51">
        <v>10</v>
      </c>
      <c r="O19" s="52">
        <f t="shared" si="6"/>
        <v>144.1</v>
      </c>
      <c r="P19" s="51"/>
      <c r="Q19" s="52">
        <f t="shared" si="7"/>
        <v>0</v>
      </c>
      <c r="R19" s="51">
        <v>300</v>
      </c>
      <c r="S19" s="52">
        <f t="shared" si="8"/>
        <v>11400</v>
      </c>
      <c r="T19" s="43">
        <v>184</v>
      </c>
      <c r="U19" s="52">
        <f t="shared" si="9"/>
        <v>2651.44</v>
      </c>
      <c r="V19" s="43">
        <v>18</v>
      </c>
      <c r="W19" s="52">
        <f t="shared" si="10"/>
        <v>504</v>
      </c>
      <c r="X19" s="94">
        <f t="shared" si="11"/>
        <v>55580.14</v>
      </c>
      <c r="Y19" s="92">
        <v>30827.072002697354</v>
      </c>
      <c r="Z19" s="44">
        <f t="shared" si="12"/>
        <v>55.464185593446423</v>
      </c>
      <c r="AA19" s="110">
        <v>75</v>
      </c>
      <c r="AB19" s="78">
        <f t="shared" si="13"/>
        <v>2850</v>
      </c>
      <c r="AC19" s="74"/>
      <c r="AD19" s="105">
        <f t="shared" si="14"/>
        <v>0</v>
      </c>
      <c r="AE19" s="110">
        <v>54</v>
      </c>
      <c r="AF19" s="78">
        <f t="shared" si="15"/>
        <v>1080</v>
      </c>
      <c r="AG19" s="74"/>
      <c r="AH19" s="105">
        <f t="shared" si="16"/>
        <v>0</v>
      </c>
      <c r="AI19" s="43">
        <v>10</v>
      </c>
      <c r="AJ19" s="74">
        <v>897.14445318065759</v>
      </c>
      <c r="AK19" s="78">
        <f t="shared" si="17"/>
        <v>89.714445318065756</v>
      </c>
    </row>
    <row r="20" spans="1:47" ht="27.75" customHeight="1" x14ac:dyDescent="0.25">
      <c r="A20" s="42">
        <v>15</v>
      </c>
      <c r="B20" s="51">
        <v>200</v>
      </c>
      <c r="C20" s="51">
        <f t="shared" si="2"/>
        <v>7764</v>
      </c>
      <c r="D20" s="51">
        <v>210</v>
      </c>
      <c r="E20" s="51">
        <f t="shared" si="3"/>
        <v>16304.4</v>
      </c>
      <c r="F20" s="51">
        <v>205</v>
      </c>
      <c r="G20" s="49">
        <f t="shared" si="18"/>
        <v>15916.2</v>
      </c>
      <c r="H20" s="48">
        <v>24</v>
      </c>
      <c r="I20" s="49">
        <f t="shared" si="19"/>
        <v>1008</v>
      </c>
      <c r="J20" s="43"/>
      <c r="K20" s="52">
        <f t="shared" si="4"/>
        <v>0</v>
      </c>
      <c r="L20" s="43">
        <v>62</v>
      </c>
      <c r="M20" s="52">
        <f t="shared" si="5"/>
        <v>1736</v>
      </c>
      <c r="N20" s="51">
        <v>10</v>
      </c>
      <c r="O20" s="52">
        <f t="shared" si="6"/>
        <v>144.1</v>
      </c>
      <c r="P20" s="51"/>
      <c r="Q20" s="52">
        <f t="shared" si="7"/>
        <v>0</v>
      </c>
      <c r="R20" s="51">
        <v>300</v>
      </c>
      <c r="S20" s="52">
        <f t="shared" si="8"/>
        <v>11400</v>
      </c>
      <c r="T20" s="43">
        <v>199</v>
      </c>
      <c r="U20" s="52">
        <f t="shared" si="9"/>
        <v>2867.59</v>
      </c>
      <c r="V20" s="43">
        <v>18</v>
      </c>
      <c r="W20" s="52">
        <f t="shared" si="10"/>
        <v>504</v>
      </c>
      <c r="X20" s="94">
        <f t="shared" si="11"/>
        <v>57644.29</v>
      </c>
      <c r="Y20" s="92">
        <v>31274.568915157921</v>
      </c>
      <c r="Z20" s="44">
        <f t="shared" si="12"/>
        <v>54.25440909265761</v>
      </c>
      <c r="AA20" s="110">
        <v>75</v>
      </c>
      <c r="AB20" s="78">
        <f t="shared" si="13"/>
        <v>2850</v>
      </c>
      <c r="AC20" s="74"/>
      <c r="AD20" s="105">
        <f t="shared" si="14"/>
        <v>0</v>
      </c>
      <c r="AE20" s="110">
        <v>54</v>
      </c>
      <c r="AF20" s="78">
        <f t="shared" si="15"/>
        <v>1080</v>
      </c>
      <c r="AG20" s="74">
        <v>917.61311576137382</v>
      </c>
      <c r="AH20" s="105">
        <f t="shared" si="16"/>
        <v>84.964177385312382</v>
      </c>
      <c r="AI20" s="43">
        <v>10</v>
      </c>
      <c r="AJ20" s="74">
        <v>1069.3752653929389</v>
      </c>
      <c r="AK20" s="78">
        <f t="shared" si="17"/>
        <v>106.93752653929388</v>
      </c>
    </row>
    <row r="21" spans="1:47" ht="29.25" customHeight="1" x14ac:dyDescent="0.25">
      <c r="A21" s="42">
        <v>16</v>
      </c>
      <c r="B21" s="51">
        <v>200</v>
      </c>
      <c r="C21" s="51">
        <f t="shared" si="2"/>
        <v>7764</v>
      </c>
      <c r="D21" s="51">
        <v>210</v>
      </c>
      <c r="E21" s="51">
        <f t="shared" si="3"/>
        <v>16304.4</v>
      </c>
      <c r="F21" s="51">
        <v>205</v>
      </c>
      <c r="G21" s="1">
        <f t="shared" si="18"/>
        <v>15916.2</v>
      </c>
      <c r="H21" s="43">
        <v>14</v>
      </c>
      <c r="I21" s="1">
        <f t="shared" si="19"/>
        <v>588</v>
      </c>
      <c r="J21" s="43"/>
      <c r="K21" s="52">
        <f t="shared" si="4"/>
        <v>0</v>
      </c>
      <c r="L21" s="43">
        <v>2</v>
      </c>
      <c r="M21" s="52">
        <f t="shared" si="5"/>
        <v>56</v>
      </c>
      <c r="N21" s="51">
        <v>10</v>
      </c>
      <c r="O21" s="52">
        <f t="shared" si="6"/>
        <v>144.1</v>
      </c>
      <c r="P21" s="51"/>
      <c r="Q21" s="52">
        <f t="shared" si="7"/>
        <v>0</v>
      </c>
      <c r="R21" s="51">
        <v>305</v>
      </c>
      <c r="S21" s="52">
        <f t="shared" si="8"/>
        <v>11590</v>
      </c>
      <c r="T21" s="43">
        <v>199</v>
      </c>
      <c r="U21" s="52">
        <f t="shared" si="9"/>
        <v>2867.59</v>
      </c>
      <c r="V21" s="43">
        <v>18</v>
      </c>
      <c r="W21" s="52">
        <f t="shared" si="10"/>
        <v>504</v>
      </c>
      <c r="X21" s="94">
        <f t="shared" si="11"/>
        <v>55734.29</v>
      </c>
      <c r="Y21" s="92">
        <v>15243.760474760449</v>
      </c>
      <c r="Z21" s="44">
        <f t="shared" si="12"/>
        <v>27.350775392959072</v>
      </c>
      <c r="AA21" s="110">
        <v>75</v>
      </c>
      <c r="AB21" s="78">
        <f t="shared" si="13"/>
        <v>2850</v>
      </c>
      <c r="AC21" s="74"/>
      <c r="AD21" s="105">
        <f t="shared" si="14"/>
        <v>0</v>
      </c>
      <c r="AE21" s="110">
        <v>53</v>
      </c>
      <c r="AF21" s="78">
        <f t="shared" si="15"/>
        <v>1060</v>
      </c>
      <c r="AG21" s="74"/>
      <c r="AH21" s="105">
        <f t="shared" si="16"/>
        <v>0</v>
      </c>
      <c r="AI21" s="43">
        <v>10</v>
      </c>
      <c r="AJ21" s="74">
        <v>732.00315032041829</v>
      </c>
      <c r="AK21" s="78">
        <f t="shared" si="17"/>
        <v>73.200315032041829</v>
      </c>
    </row>
    <row r="22" spans="1:47" ht="28.5" customHeight="1" x14ac:dyDescent="0.25">
      <c r="A22" s="42">
        <v>17</v>
      </c>
      <c r="B22" s="51">
        <v>85</v>
      </c>
      <c r="C22" s="51">
        <f t="shared" si="2"/>
        <v>3299.7</v>
      </c>
      <c r="D22" s="51">
        <v>95</v>
      </c>
      <c r="E22" s="51">
        <f t="shared" si="3"/>
        <v>7375.8</v>
      </c>
      <c r="F22" s="51">
        <v>85</v>
      </c>
      <c r="G22" s="1">
        <f t="shared" si="18"/>
        <v>6599.4</v>
      </c>
      <c r="H22" s="43">
        <v>15</v>
      </c>
      <c r="I22" s="1">
        <f t="shared" si="19"/>
        <v>630</v>
      </c>
      <c r="J22" s="43"/>
      <c r="K22" s="52">
        <f t="shared" si="4"/>
        <v>0</v>
      </c>
      <c r="L22" s="43">
        <v>2</v>
      </c>
      <c r="M22" s="52">
        <f t="shared" si="5"/>
        <v>56</v>
      </c>
      <c r="N22" s="51">
        <v>5</v>
      </c>
      <c r="O22" s="52">
        <f t="shared" si="6"/>
        <v>72.05</v>
      </c>
      <c r="P22" s="51"/>
      <c r="Q22" s="52">
        <f t="shared" si="7"/>
        <v>0</v>
      </c>
      <c r="R22" s="51">
        <v>290</v>
      </c>
      <c r="S22" s="52">
        <f t="shared" si="8"/>
        <v>11020</v>
      </c>
      <c r="T22" s="43">
        <v>53</v>
      </c>
      <c r="U22" s="52">
        <f t="shared" si="9"/>
        <v>763.73</v>
      </c>
      <c r="V22" s="43">
        <v>0</v>
      </c>
      <c r="W22" s="52">
        <f t="shared" si="10"/>
        <v>0</v>
      </c>
      <c r="X22" s="94">
        <f t="shared" si="11"/>
        <v>29816.68</v>
      </c>
      <c r="Y22" s="92">
        <v>18498.265595258887</v>
      </c>
      <c r="Z22" s="44">
        <f t="shared" si="12"/>
        <v>62.039991022672162</v>
      </c>
      <c r="AA22" s="110">
        <v>75</v>
      </c>
      <c r="AB22" s="78">
        <f t="shared" si="13"/>
        <v>2850</v>
      </c>
      <c r="AC22" s="74"/>
      <c r="AD22" s="105">
        <f t="shared" si="14"/>
        <v>0</v>
      </c>
      <c r="AE22" s="110">
        <v>52</v>
      </c>
      <c r="AF22" s="78">
        <f t="shared" si="15"/>
        <v>1040</v>
      </c>
      <c r="AG22" s="74">
        <v>3981.6060415195807</v>
      </c>
      <c r="AH22" s="105">
        <f t="shared" si="16"/>
        <v>382.84673476149817</v>
      </c>
      <c r="AI22" s="43">
        <v>10</v>
      </c>
      <c r="AJ22" s="74">
        <v>757.26981547865216</v>
      </c>
      <c r="AK22" s="78">
        <f t="shared" si="17"/>
        <v>75.726981547865222</v>
      </c>
    </row>
    <row r="23" spans="1:47" ht="30" customHeight="1" x14ac:dyDescent="0.25">
      <c r="A23" s="42">
        <v>18</v>
      </c>
      <c r="B23" s="51">
        <v>85</v>
      </c>
      <c r="C23" s="51">
        <f t="shared" si="2"/>
        <v>3299.7</v>
      </c>
      <c r="D23" s="51">
        <v>95</v>
      </c>
      <c r="E23" s="51">
        <f t="shared" si="3"/>
        <v>7375.8</v>
      </c>
      <c r="F23" s="51">
        <v>85</v>
      </c>
      <c r="G23" s="1">
        <f t="shared" si="18"/>
        <v>6599.4</v>
      </c>
      <c r="H23" s="43">
        <v>9</v>
      </c>
      <c r="I23" s="1">
        <f t="shared" si="19"/>
        <v>378</v>
      </c>
      <c r="J23" s="43"/>
      <c r="K23" s="52">
        <f t="shared" si="4"/>
        <v>0</v>
      </c>
      <c r="L23" s="43">
        <v>2</v>
      </c>
      <c r="M23" s="52">
        <f t="shared" si="5"/>
        <v>56</v>
      </c>
      <c r="N23" s="51">
        <v>5</v>
      </c>
      <c r="O23" s="52">
        <f t="shared" si="6"/>
        <v>72.05</v>
      </c>
      <c r="P23" s="51"/>
      <c r="Q23" s="52">
        <f t="shared" si="7"/>
        <v>0</v>
      </c>
      <c r="R23" s="51">
        <v>290</v>
      </c>
      <c r="S23" s="52">
        <f t="shared" si="8"/>
        <v>11020</v>
      </c>
      <c r="T23" s="43">
        <v>53</v>
      </c>
      <c r="U23" s="52">
        <f t="shared" si="9"/>
        <v>763.73</v>
      </c>
      <c r="V23" s="43">
        <v>0</v>
      </c>
      <c r="W23" s="52">
        <f t="shared" si="10"/>
        <v>0</v>
      </c>
      <c r="X23" s="94">
        <f t="shared" si="11"/>
        <v>29564.68</v>
      </c>
      <c r="Y23" s="92">
        <v>17363.212221494079</v>
      </c>
      <c r="Z23" s="44">
        <f t="shared" si="12"/>
        <v>58.729579422114767</v>
      </c>
      <c r="AA23" s="110">
        <v>75</v>
      </c>
      <c r="AB23" s="78">
        <f t="shared" si="13"/>
        <v>2850</v>
      </c>
      <c r="AC23" s="74">
        <v>7570.18</v>
      </c>
      <c r="AD23" s="105">
        <f t="shared" si="14"/>
        <v>265.620350877193</v>
      </c>
      <c r="AE23" s="110">
        <v>49</v>
      </c>
      <c r="AF23" s="78">
        <f t="shared" si="15"/>
        <v>980</v>
      </c>
      <c r="AG23" s="74">
        <v>89.769863132993351</v>
      </c>
      <c r="AH23" s="105">
        <f t="shared" si="16"/>
        <v>9.1601901156115666</v>
      </c>
      <c r="AI23" s="43">
        <v>15</v>
      </c>
      <c r="AJ23" s="74">
        <v>1071.4546119644067</v>
      </c>
      <c r="AK23" s="78">
        <f t="shared" si="17"/>
        <v>71.430307464293776</v>
      </c>
    </row>
    <row r="24" spans="1:47" ht="28.5" customHeight="1" x14ac:dyDescent="0.25">
      <c r="A24" s="42">
        <v>19</v>
      </c>
      <c r="B24" s="51">
        <v>200</v>
      </c>
      <c r="C24" s="51">
        <f t="shared" si="2"/>
        <v>7764</v>
      </c>
      <c r="D24" s="51">
        <v>210</v>
      </c>
      <c r="E24" s="51">
        <f t="shared" si="3"/>
        <v>16304.4</v>
      </c>
      <c r="F24" s="51">
        <v>205</v>
      </c>
      <c r="G24" s="1">
        <f t="shared" si="18"/>
        <v>15916.2</v>
      </c>
      <c r="H24" s="43">
        <v>18</v>
      </c>
      <c r="I24" s="1">
        <f t="shared" si="19"/>
        <v>756</v>
      </c>
      <c r="J24" s="43"/>
      <c r="K24" s="52">
        <f t="shared" si="4"/>
        <v>0</v>
      </c>
      <c r="L24" s="43">
        <v>136</v>
      </c>
      <c r="M24" s="52">
        <f t="shared" si="5"/>
        <v>3808</v>
      </c>
      <c r="N24" s="51">
        <v>12</v>
      </c>
      <c r="O24" s="52">
        <f t="shared" si="6"/>
        <v>172.92000000000002</v>
      </c>
      <c r="P24" s="51"/>
      <c r="Q24" s="52">
        <f t="shared" si="7"/>
        <v>0</v>
      </c>
      <c r="R24" s="51">
        <v>305</v>
      </c>
      <c r="S24" s="52">
        <f t="shared" si="8"/>
        <v>11590</v>
      </c>
      <c r="T24" s="43">
        <v>199</v>
      </c>
      <c r="U24" s="52">
        <f t="shared" si="9"/>
        <v>2867.59</v>
      </c>
      <c r="V24" s="43">
        <v>15</v>
      </c>
      <c r="W24" s="52">
        <f t="shared" si="10"/>
        <v>420</v>
      </c>
      <c r="X24" s="94">
        <f t="shared" si="11"/>
        <v>59599.11</v>
      </c>
      <c r="Y24" s="92">
        <v>27976.797314481839</v>
      </c>
      <c r="Z24" s="44">
        <f t="shared" si="12"/>
        <v>46.941636065508092</v>
      </c>
      <c r="AA24" s="110">
        <v>75</v>
      </c>
      <c r="AB24" s="78">
        <f t="shared" si="13"/>
        <v>2850</v>
      </c>
      <c r="AC24" s="74"/>
      <c r="AD24" s="105">
        <f t="shared" si="14"/>
        <v>0</v>
      </c>
      <c r="AE24" s="110">
        <v>48</v>
      </c>
      <c r="AF24" s="78">
        <f t="shared" si="15"/>
        <v>960</v>
      </c>
      <c r="AG24" s="74"/>
      <c r="AH24" s="105">
        <f t="shared" si="16"/>
        <v>0</v>
      </c>
      <c r="AI24" s="43">
        <v>17</v>
      </c>
      <c r="AJ24" s="74">
        <v>1151.7533373613853</v>
      </c>
      <c r="AK24" s="78">
        <f t="shared" si="17"/>
        <v>67.750196315375604</v>
      </c>
    </row>
    <row r="25" spans="1:47" ht="30" customHeight="1" x14ac:dyDescent="0.25">
      <c r="A25" s="42">
        <v>20</v>
      </c>
      <c r="B25" s="51">
        <v>200</v>
      </c>
      <c r="C25" s="51">
        <f t="shared" si="2"/>
        <v>7764</v>
      </c>
      <c r="D25" s="51">
        <v>210</v>
      </c>
      <c r="E25" s="51">
        <f t="shared" si="3"/>
        <v>16304.4</v>
      </c>
      <c r="F25" s="51">
        <v>205</v>
      </c>
      <c r="G25" s="1">
        <f t="shared" si="18"/>
        <v>15916.2</v>
      </c>
      <c r="H25" s="43">
        <v>25</v>
      </c>
      <c r="I25" s="1">
        <f t="shared" si="19"/>
        <v>1050</v>
      </c>
      <c r="J25" s="43"/>
      <c r="K25" s="52">
        <f t="shared" si="4"/>
        <v>0</v>
      </c>
      <c r="L25" s="43">
        <v>2</v>
      </c>
      <c r="M25" s="52">
        <f t="shared" si="5"/>
        <v>56</v>
      </c>
      <c r="N25" s="51">
        <v>10</v>
      </c>
      <c r="O25" s="52">
        <f t="shared" si="6"/>
        <v>144.1</v>
      </c>
      <c r="P25" s="51"/>
      <c r="Q25" s="52">
        <f t="shared" si="7"/>
        <v>0</v>
      </c>
      <c r="R25" s="51">
        <v>315</v>
      </c>
      <c r="S25" s="52">
        <f t="shared" si="8"/>
        <v>11970</v>
      </c>
      <c r="T25" s="43">
        <v>204</v>
      </c>
      <c r="U25" s="52">
        <f t="shared" si="9"/>
        <v>2939.64</v>
      </c>
      <c r="V25" s="43">
        <v>15</v>
      </c>
      <c r="W25" s="52">
        <f t="shared" si="10"/>
        <v>420</v>
      </c>
      <c r="X25" s="94">
        <f t="shared" si="11"/>
        <v>56564.34</v>
      </c>
      <c r="Y25" s="92">
        <v>27675.773605778395</v>
      </c>
      <c r="Z25" s="44">
        <f t="shared" si="12"/>
        <v>48.927952851175135</v>
      </c>
      <c r="AA25" s="110">
        <v>75</v>
      </c>
      <c r="AB25" s="78">
        <f t="shared" si="13"/>
        <v>2850</v>
      </c>
      <c r="AC25" s="74"/>
      <c r="AD25" s="105">
        <f t="shared" si="14"/>
        <v>0</v>
      </c>
      <c r="AE25" s="110">
        <v>48</v>
      </c>
      <c r="AF25" s="78">
        <f t="shared" si="15"/>
        <v>960</v>
      </c>
      <c r="AG25" s="74"/>
      <c r="AH25" s="105">
        <f t="shared" si="16"/>
        <v>0</v>
      </c>
      <c r="AI25" s="43">
        <v>17</v>
      </c>
      <c r="AJ25" s="74">
        <v>1230.8791087806994</v>
      </c>
      <c r="AK25" s="78">
        <f t="shared" si="17"/>
        <v>72.404653457688198</v>
      </c>
    </row>
    <row r="26" spans="1:47" ht="32.25" customHeight="1" x14ac:dyDescent="0.25">
      <c r="A26" s="42">
        <v>21</v>
      </c>
      <c r="B26" s="51">
        <v>200</v>
      </c>
      <c r="C26" s="51">
        <f t="shared" si="2"/>
        <v>7764</v>
      </c>
      <c r="D26" s="51">
        <v>210</v>
      </c>
      <c r="E26" s="51">
        <f t="shared" si="3"/>
        <v>16304.4</v>
      </c>
      <c r="F26" s="51">
        <v>205</v>
      </c>
      <c r="G26" s="1">
        <f t="shared" si="18"/>
        <v>15916.2</v>
      </c>
      <c r="H26" s="43">
        <v>21</v>
      </c>
      <c r="I26" s="1">
        <f t="shared" si="19"/>
        <v>882</v>
      </c>
      <c r="J26" s="43"/>
      <c r="K26" s="52">
        <f t="shared" si="4"/>
        <v>0</v>
      </c>
      <c r="L26" s="43">
        <v>2</v>
      </c>
      <c r="M26" s="52">
        <f t="shared" si="5"/>
        <v>56</v>
      </c>
      <c r="N26" s="51">
        <v>10</v>
      </c>
      <c r="O26" s="52">
        <f t="shared" si="6"/>
        <v>144.1</v>
      </c>
      <c r="P26" s="51"/>
      <c r="Q26" s="52">
        <f t="shared" si="7"/>
        <v>0</v>
      </c>
      <c r="R26" s="51">
        <v>315</v>
      </c>
      <c r="S26" s="52">
        <f t="shared" si="8"/>
        <v>11970</v>
      </c>
      <c r="T26" s="43">
        <v>194</v>
      </c>
      <c r="U26" s="52">
        <f t="shared" si="9"/>
        <v>2795.54</v>
      </c>
      <c r="V26" s="43">
        <v>18</v>
      </c>
      <c r="W26" s="52">
        <f t="shared" si="10"/>
        <v>504</v>
      </c>
      <c r="X26" s="94">
        <f t="shared" si="11"/>
        <v>56336.24</v>
      </c>
      <c r="Y26" s="92">
        <v>28620.844816480436</v>
      </c>
      <c r="Z26" s="44">
        <f t="shared" si="12"/>
        <v>50.803612055899428</v>
      </c>
      <c r="AA26" s="110">
        <v>75</v>
      </c>
      <c r="AB26" s="78">
        <f t="shared" si="13"/>
        <v>2850</v>
      </c>
      <c r="AC26" s="74"/>
      <c r="AD26" s="105">
        <f t="shared" si="14"/>
        <v>0</v>
      </c>
      <c r="AE26" s="110">
        <v>53</v>
      </c>
      <c r="AF26" s="78">
        <f t="shared" si="15"/>
        <v>1060</v>
      </c>
      <c r="AG26" s="74">
        <v>2667.6574013429818</v>
      </c>
      <c r="AH26" s="105">
        <f t="shared" si="16"/>
        <v>251.66579257952657</v>
      </c>
      <c r="AI26" s="43">
        <v>17</v>
      </c>
      <c r="AJ26" s="74">
        <v>1070.7750999920509</v>
      </c>
      <c r="AK26" s="78">
        <f t="shared" si="17"/>
        <v>62.986770587767694</v>
      </c>
    </row>
    <row r="27" spans="1:47" ht="32.25" customHeight="1" x14ac:dyDescent="0.25">
      <c r="A27" s="42">
        <v>22</v>
      </c>
      <c r="B27" s="51">
        <v>200</v>
      </c>
      <c r="C27" s="51">
        <f t="shared" si="2"/>
        <v>7764</v>
      </c>
      <c r="D27" s="51">
        <v>210</v>
      </c>
      <c r="E27" s="51">
        <f t="shared" si="3"/>
        <v>16304.4</v>
      </c>
      <c r="F27" s="51">
        <v>205</v>
      </c>
      <c r="G27" s="1">
        <f t="shared" si="18"/>
        <v>15916.2</v>
      </c>
      <c r="H27" s="43">
        <v>7</v>
      </c>
      <c r="I27" s="1">
        <f t="shared" si="19"/>
        <v>294</v>
      </c>
      <c r="J27" s="43"/>
      <c r="K27" s="52">
        <f t="shared" si="4"/>
        <v>0</v>
      </c>
      <c r="L27" s="43">
        <v>2</v>
      </c>
      <c r="M27" s="52">
        <f t="shared" si="5"/>
        <v>56</v>
      </c>
      <c r="N27" s="51">
        <v>10</v>
      </c>
      <c r="O27" s="52">
        <f t="shared" si="6"/>
        <v>144.1</v>
      </c>
      <c r="P27" s="51"/>
      <c r="Q27" s="52">
        <f t="shared" si="7"/>
        <v>0</v>
      </c>
      <c r="R27" s="51">
        <v>311</v>
      </c>
      <c r="S27" s="52">
        <f t="shared" si="8"/>
        <v>11818</v>
      </c>
      <c r="T27" s="43">
        <v>199</v>
      </c>
      <c r="U27" s="52">
        <f t="shared" si="9"/>
        <v>2867.59</v>
      </c>
      <c r="V27" s="43">
        <v>18</v>
      </c>
      <c r="W27" s="52">
        <f t="shared" si="10"/>
        <v>504</v>
      </c>
      <c r="X27" s="94">
        <f t="shared" si="11"/>
        <v>55668.29</v>
      </c>
      <c r="Y27" s="92">
        <v>27574.75460735329</v>
      </c>
      <c r="Z27" s="44">
        <f t="shared" si="12"/>
        <v>49.534042822858922</v>
      </c>
      <c r="AA27" s="110">
        <v>75</v>
      </c>
      <c r="AB27" s="78">
        <f t="shared" si="13"/>
        <v>2850</v>
      </c>
      <c r="AC27" s="74"/>
      <c r="AD27" s="105">
        <f t="shared" si="14"/>
        <v>0</v>
      </c>
      <c r="AE27" s="110">
        <v>50</v>
      </c>
      <c r="AF27" s="78">
        <f t="shared" si="15"/>
        <v>1000</v>
      </c>
      <c r="AG27" s="74"/>
      <c r="AH27" s="105">
        <f t="shared" si="16"/>
        <v>0</v>
      </c>
      <c r="AI27" s="43">
        <v>17</v>
      </c>
      <c r="AJ27" s="74">
        <v>1089.2541512463495</v>
      </c>
      <c r="AK27" s="78">
        <f t="shared" si="17"/>
        <v>64.073773602726433</v>
      </c>
    </row>
    <row r="28" spans="1:47" ht="30" customHeight="1" x14ac:dyDescent="0.25">
      <c r="A28" s="42">
        <v>23</v>
      </c>
      <c r="B28" s="51">
        <v>200</v>
      </c>
      <c r="C28" s="51">
        <f t="shared" si="2"/>
        <v>7764</v>
      </c>
      <c r="D28" s="51">
        <v>210</v>
      </c>
      <c r="E28" s="51">
        <f t="shared" si="3"/>
        <v>16304.4</v>
      </c>
      <c r="F28" s="51">
        <v>205</v>
      </c>
      <c r="G28" s="1">
        <f t="shared" si="18"/>
        <v>15916.2</v>
      </c>
      <c r="H28" s="43">
        <v>14</v>
      </c>
      <c r="I28" s="1">
        <f t="shared" si="19"/>
        <v>588</v>
      </c>
      <c r="J28" s="43"/>
      <c r="K28" s="52">
        <f t="shared" si="4"/>
        <v>0</v>
      </c>
      <c r="L28" s="43">
        <v>2</v>
      </c>
      <c r="M28" s="52">
        <f t="shared" si="5"/>
        <v>56</v>
      </c>
      <c r="N28" s="51">
        <v>10</v>
      </c>
      <c r="O28" s="52">
        <f t="shared" si="6"/>
        <v>144.1</v>
      </c>
      <c r="P28" s="51"/>
      <c r="Q28" s="52">
        <f t="shared" si="7"/>
        <v>0</v>
      </c>
      <c r="R28" s="51">
        <v>305</v>
      </c>
      <c r="S28" s="52">
        <f t="shared" si="8"/>
        <v>11590</v>
      </c>
      <c r="T28" s="43">
        <v>204</v>
      </c>
      <c r="U28" s="52">
        <f t="shared" si="9"/>
        <v>2939.64</v>
      </c>
      <c r="V28" s="43">
        <v>18</v>
      </c>
      <c r="W28" s="52">
        <f t="shared" si="10"/>
        <v>504</v>
      </c>
      <c r="X28" s="94">
        <f t="shared" si="11"/>
        <v>55806.34</v>
      </c>
      <c r="Y28" s="92">
        <v>24906.007952675478</v>
      </c>
      <c r="Z28" s="44">
        <f t="shared" si="12"/>
        <v>44.629352064076379</v>
      </c>
      <c r="AA28" s="110">
        <v>75</v>
      </c>
      <c r="AB28" s="78">
        <f t="shared" si="13"/>
        <v>2850</v>
      </c>
      <c r="AC28" s="74"/>
      <c r="AD28" s="105">
        <f t="shared" si="14"/>
        <v>0</v>
      </c>
      <c r="AE28" s="110">
        <v>50</v>
      </c>
      <c r="AF28" s="78">
        <f t="shared" si="15"/>
        <v>1000</v>
      </c>
      <c r="AG28" s="74"/>
      <c r="AH28" s="122">
        <f t="shared" si="16"/>
        <v>0</v>
      </c>
      <c r="AI28" s="43">
        <v>17</v>
      </c>
      <c r="AJ28" s="74">
        <v>1042.1617160410144</v>
      </c>
      <c r="AK28" s="78">
        <f t="shared" si="17"/>
        <v>61.303630355353789</v>
      </c>
    </row>
    <row r="29" spans="1:47" ht="30.75" customHeight="1" x14ac:dyDescent="0.25">
      <c r="A29" s="42">
        <v>24</v>
      </c>
      <c r="B29" s="51">
        <v>85</v>
      </c>
      <c r="C29" s="51">
        <f t="shared" si="2"/>
        <v>3299.7</v>
      </c>
      <c r="D29" s="51">
        <v>95</v>
      </c>
      <c r="E29" s="51">
        <f t="shared" si="3"/>
        <v>7375.8</v>
      </c>
      <c r="F29" s="51">
        <v>85</v>
      </c>
      <c r="G29" s="1">
        <f t="shared" si="18"/>
        <v>6599.4</v>
      </c>
      <c r="H29" s="43">
        <v>10</v>
      </c>
      <c r="I29" s="1">
        <f t="shared" si="19"/>
        <v>420</v>
      </c>
      <c r="J29" s="43"/>
      <c r="K29" s="52">
        <f t="shared" si="4"/>
        <v>0</v>
      </c>
      <c r="L29" s="43">
        <v>2</v>
      </c>
      <c r="M29" s="52">
        <f t="shared" si="5"/>
        <v>56</v>
      </c>
      <c r="N29" s="51">
        <v>5</v>
      </c>
      <c r="O29" s="52">
        <f t="shared" si="6"/>
        <v>72.05</v>
      </c>
      <c r="P29" s="51"/>
      <c r="Q29" s="52">
        <f t="shared" si="7"/>
        <v>0</v>
      </c>
      <c r="R29" s="51">
        <v>305</v>
      </c>
      <c r="S29" s="52">
        <f t="shared" si="8"/>
        <v>11590</v>
      </c>
      <c r="T29" s="43">
        <v>53</v>
      </c>
      <c r="U29" s="52">
        <f t="shared" si="9"/>
        <v>763.73</v>
      </c>
      <c r="V29" s="43">
        <v>0</v>
      </c>
      <c r="W29" s="52">
        <f t="shared" si="10"/>
        <v>0</v>
      </c>
      <c r="X29" s="94">
        <f t="shared" si="11"/>
        <v>30176.68</v>
      </c>
      <c r="Y29" s="92">
        <v>21749.892201482311</v>
      </c>
      <c r="Z29" s="44">
        <f t="shared" si="12"/>
        <v>72.075165994013616</v>
      </c>
      <c r="AA29" s="110">
        <v>75</v>
      </c>
      <c r="AB29" s="78">
        <f t="shared" si="13"/>
        <v>2850</v>
      </c>
      <c r="AC29" s="74"/>
      <c r="AD29" s="105">
        <f t="shared" si="14"/>
        <v>0</v>
      </c>
      <c r="AE29" s="110">
        <v>51</v>
      </c>
      <c r="AF29" s="78">
        <f t="shared" si="15"/>
        <v>1020</v>
      </c>
      <c r="AG29" s="74">
        <v>619.69704505694256</v>
      </c>
      <c r="AH29" s="122">
        <f t="shared" si="16"/>
        <v>60.754612260484564</v>
      </c>
      <c r="AI29" s="43">
        <v>17</v>
      </c>
      <c r="AJ29" s="74">
        <v>1011.8056396277206</v>
      </c>
      <c r="AK29" s="78">
        <f t="shared" si="17"/>
        <v>59.517978801630619</v>
      </c>
    </row>
    <row r="30" spans="1:47" ht="29.25" customHeight="1" x14ac:dyDescent="0.25">
      <c r="A30" s="42">
        <v>25</v>
      </c>
      <c r="B30" s="51">
        <v>85</v>
      </c>
      <c r="C30" s="51">
        <f t="shared" si="2"/>
        <v>3299.7</v>
      </c>
      <c r="D30" s="51">
        <v>95</v>
      </c>
      <c r="E30" s="51">
        <f t="shared" si="3"/>
        <v>7375.8</v>
      </c>
      <c r="F30" s="51">
        <v>85</v>
      </c>
      <c r="G30" s="1">
        <f t="shared" si="18"/>
        <v>6599.4</v>
      </c>
      <c r="H30" s="43">
        <v>5</v>
      </c>
      <c r="I30" s="1">
        <f t="shared" si="19"/>
        <v>210</v>
      </c>
      <c r="J30" s="43"/>
      <c r="K30" s="52">
        <f t="shared" si="4"/>
        <v>0</v>
      </c>
      <c r="L30" s="43">
        <v>2</v>
      </c>
      <c r="M30" s="52">
        <f t="shared" si="5"/>
        <v>56</v>
      </c>
      <c r="N30" s="51">
        <v>5</v>
      </c>
      <c r="O30" s="52">
        <f t="shared" si="6"/>
        <v>72.05</v>
      </c>
      <c r="P30" s="51"/>
      <c r="Q30" s="52">
        <f t="shared" si="7"/>
        <v>0</v>
      </c>
      <c r="R30" s="51">
        <v>305</v>
      </c>
      <c r="S30" s="52">
        <f t="shared" si="8"/>
        <v>11590</v>
      </c>
      <c r="T30" s="43">
        <v>53</v>
      </c>
      <c r="U30" s="52">
        <f t="shared" si="9"/>
        <v>763.73</v>
      </c>
      <c r="V30" s="43">
        <v>0</v>
      </c>
      <c r="W30" s="52">
        <f t="shared" si="10"/>
        <v>0</v>
      </c>
      <c r="X30" s="94">
        <f t="shared" si="11"/>
        <v>29966.68</v>
      </c>
      <c r="Y30" s="92">
        <v>18794.568190329057</v>
      </c>
      <c r="Z30" s="44">
        <f t="shared" si="12"/>
        <v>62.718219670410789</v>
      </c>
      <c r="AA30" s="110">
        <v>75</v>
      </c>
      <c r="AB30" s="78">
        <f t="shared" si="13"/>
        <v>2850</v>
      </c>
      <c r="AC30" s="74"/>
      <c r="AD30" s="105">
        <f t="shared" si="14"/>
        <v>0</v>
      </c>
      <c r="AE30" s="110">
        <v>51</v>
      </c>
      <c r="AF30" s="78">
        <f t="shared" si="15"/>
        <v>1020</v>
      </c>
      <c r="AG30" s="74"/>
      <c r="AH30" s="122">
        <f t="shared" si="16"/>
        <v>0</v>
      </c>
      <c r="AI30" s="43">
        <v>17</v>
      </c>
      <c r="AJ30" s="74">
        <v>1288.58353082231</v>
      </c>
      <c r="AK30" s="78">
        <f t="shared" si="17"/>
        <v>75.799031224841769</v>
      </c>
    </row>
    <row r="31" spans="1:47" ht="26.25" customHeight="1" x14ac:dyDescent="0.25">
      <c r="A31" s="42">
        <v>26</v>
      </c>
      <c r="B31" s="51">
        <v>200</v>
      </c>
      <c r="C31" s="51">
        <f t="shared" si="2"/>
        <v>7764</v>
      </c>
      <c r="D31" s="51">
        <v>210</v>
      </c>
      <c r="E31" s="51">
        <f t="shared" si="3"/>
        <v>16304.4</v>
      </c>
      <c r="F31" s="51">
        <v>205</v>
      </c>
      <c r="G31" s="1">
        <f t="shared" si="18"/>
        <v>15916.2</v>
      </c>
      <c r="H31" s="43">
        <v>11</v>
      </c>
      <c r="I31" s="1">
        <f t="shared" si="19"/>
        <v>462</v>
      </c>
      <c r="J31" s="43"/>
      <c r="K31" s="52">
        <f t="shared" si="4"/>
        <v>0</v>
      </c>
      <c r="L31" s="43">
        <v>144</v>
      </c>
      <c r="M31" s="52">
        <f t="shared" si="5"/>
        <v>4032</v>
      </c>
      <c r="N31" s="51">
        <v>12</v>
      </c>
      <c r="O31" s="52">
        <f t="shared" si="6"/>
        <v>172.92000000000002</v>
      </c>
      <c r="P31" s="51"/>
      <c r="Q31" s="52">
        <f t="shared" si="7"/>
        <v>0</v>
      </c>
      <c r="R31" s="51">
        <v>305</v>
      </c>
      <c r="S31" s="52">
        <f t="shared" si="8"/>
        <v>11590</v>
      </c>
      <c r="T31" s="43">
        <v>204</v>
      </c>
      <c r="U31" s="52">
        <f t="shared" si="9"/>
        <v>2939.64</v>
      </c>
      <c r="V31" s="43">
        <v>19</v>
      </c>
      <c r="W31" s="52">
        <f t="shared" si="10"/>
        <v>532</v>
      </c>
      <c r="X31" s="94">
        <f t="shared" si="11"/>
        <v>59713.159999999996</v>
      </c>
      <c r="Y31" s="92">
        <v>27695.511696726982</v>
      </c>
      <c r="Z31" s="44">
        <f t="shared" si="12"/>
        <v>46.380917869238516</v>
      </c>
      <c r="AA31" s="110">
        <v>75</v>
      </c>
      <c r="AB31" s="78">
        <f t="shared" si="13"/>
        <v>2850</v>
      </c>
      <c r="AC31" s="104">
        <v>7387.61</v>
      </c>
      <c r="AD31" s="105">
        <f t="shared" si="14"/>
        <v>259.21438596491225</v>
      </c>
      <c r="AE31" s="110">
        <v>48</v>
      </c>
      <c r="AF31" s="78">
        <f t="shared" si="15"/>
        <v>960</v>
      </c>
      <c r="AG31" s="74">
        <v>4142.3857587324219</v>
      </c>
      <c r="AH31" s="122">
        <f t="shared" si="16"/>
        <v>431.4985165346273</v>
      </c>
      <c r="AI31" s="43">
        <v>17</v>
      </c>
      <c r="AJ31" s="74">
        <v>1089.2541512463495</v>
      </c>
      <c r="AK31" s="78">
        <f t="shared" si="17"/>
        <v>64.073773602726433</v>
      </c>
    </row>
    <row r="32" spans="1:47" ht="31.5" customHeight="1" x14ac:dyDescent="0.25">
      <c r="A32" s="42">
        <v>27</v>
      </c>
      <c r="B32" s="51">
        <v>200</v>
      </c>
      <c r="C32" s="51">
        <f t="shared" si="2"/>
        <v>7764</v>
      </c>
      <c r="D32" s="51">
        <v>210</v>
      </c>
      <c r="E32" s="51">
        <f t="shared" si="3"/>
        <v>16304.4</v>
      </c>
      <c r="F32" s="51">
        <v>205</v>
      </c>
      <c r="G32" s="1">
        <f t="shared" si="18"/>
        <v>15916.2</v>
      </c>
      <c r="H32" s="43">
        <v>16</v>
      </c>
      <c r="I32" s="1">
        <f t="shared" si="19"/>
        <v>672</v>
      </c>
      <c r="J32" s="43"/>
      <c r="K32" s="52">
        <f t="shared" si="4"/>
        <v>0</v>
      </c>
      <c r="L32" s="43">
        <v>2</v>
      </c>
      <c r="M32" s="52">
        <f t="shared" si="5"/>
        <v>56</v>
      </c>
      <c r="N32" s="51">
        <v>10</v>
      </c>
      <c r="O32" s="52">
        <f t="shared" si="6"/>
        <v>144.1</v>
      </c>
      <c r="P32" s="51"/>
      <c r="Q32" s="52">
        <f t="shared" si="7"/>
        <v>0</v>
      </c>
      <c r="R32" s="43">
        <v>305</v>
      </c>
      <c r="S32" s="52">
        <f t="shared" si="8"/>
        <v>11590</v>
      </c>
      <c r="T32" s="43">
        <v>204</v>
      </c>
      <c r="U32" s="52">
        <f t="shared" si="9"/>
        <v>2939.64</v>
      </c>
      <c r="V32" s="43">
        <v>21</v>
      </c>
      <c r="W32" s="52">
        <f t="shared" si="10"/>
        <v>588</v>
      </c>
      <c r="X32" s="94">
        <f t="shared" si="11"/>
        <v>55974.34</v>
      </c>
      <c r="Y32" s="92">
        <v>32770.53902310432</v>
      </c>
      <c r="Z32" s="44">
        <f t="shared" si="12"/>
        <v>58.545646135540544</v>
      </c>
      <c r="AA32" s="110">
        <v>75</v>
      </c>
      <c r="AB32" s="78">
        <f t="shared" si="13"/>
        <v>2850</v>
      </c>
      <c r="AC32" s="74"/>
      <c r="AD32" s="105">
        <f t="shared" si="14"/>
        <v>0</v>
      </c>
      <c r="AE32" s="110">
        <v>48</v>
      </c>
      <c r="AF32" s="78">
        <f t="shared" si="15"/>
        <v>960</v>
      </c>
      <c r="AG32" s="74"/>
      <c r="AH32" s="122">
        <f t="shared" si="16"/>
        <v>0</v>
      </c>
      <c r="AI32" s="43">
        <v>17</v>
      </c>
      <c r="AJ32" s="74">
        <v>772.32931074113935</v>
      </c>
      <c r="AK32" s="78">
        <f t="shared" si="17"/>
        <v>45.431135925949377</v>
      </c>
    </row>
    <row r="33" spans="1:37" ht="31.5" customHeight="1" x14ac:dyDescent="0.25">
      <c r="A33" s="42">
        <v>28</v>
      </c>
      <c r="B33" s="51">
        <v>200</v>
      </c>
      <c r="C33" s="51">
        <f t="shared" si="2"/>
        <v>7764</v>
      </c>
      <c r="D33" s="51">
        <v>210</v>
      </c>
      <c r="E33" s="51">
        <f t="shared" si="3"/>
        <v>16304.4</v>
      </c>
      <c r="F33" s="51">
        <v>205</v>
      </c>
      <c r="G33" s="1">
        <f t="shared" si="18"/>
        <v>15916.2</v>
      </c>
      <c r="H33" s="43">
        <v>14</v>
      </c>
      <c r="I33" s="1">
        <f t="shared" si="19"/>
        <v>588</v>
      </c>
      <c r="J33" s="43"/>
      <c r="K33" s="52">
        <f t="shared" si="4"/>
        <v>0</v>
      </c>
      <c r="L33" s="43">
        <v>2</v>
      </c>
      <c r="M33" s="52">
        <f t="shared" si="5"/>
        <v>56</v>
      </c>
      <c r="N33" s="51">
        <v>10</v>
      </c>
      <c r="O33" s="52">
        <f t="shared" si="6"/>
        <v>144.1</v>
      </c>
      <c r="P33" s="51"/>
      <c r="Q33" s="52">
        <f t="shared" si="7"/>
        <v>0</v>
      </c>
      <c r="R33" s="43">
        <v>305</v>
      </c>
      <c r="S33" s="52">
        <f t="shared" si="8"/>
        <v>11590</v>
      </c>
      <c r="T33" s="43">
        <v>204</v>
      </c>
      <c r="U33" s="52">
        <f t="shared" si="9"/>
        <v>2939.64</v>
      </c>
      <c r="V33" s="43">
        <v>19</v>
      </c>
      <c r="W33" s="52">
        <f t="shared" si="10"/>
        <v>532</v>
      </c>
      <c r="X33" s="94">
        <f t="shared" si="11"/>
        <v>55834.34</v>
      </c>
      <c r="Y33" s="92">
        <v>31128.648582761816</v>
      </c>
      <c r="Z33" s="44">
        <f>+Y33/X33*100</f>
        <v>55.75179823521119</v>
      </c>
      <c r="AA33" s="110">
        <v>75</v>
      </c>
      <c r="AB33" s="78">
        <f t="shared" si="13"/>
        <v>2850</v>
      </c>
      <c r="AC33" s="74"/>
      <c r="AD33" s="105">
        <f t="shared" si="14"/>
        <v>0</v>
      </c>
      <c r="AE33" s="110">
        <v>47</v>
      </c>
      <c r="AF33" s="78">
        <f t="shared" si="15"/>
        <v>940</v>
      </c>
      <c r="AG33" s="74">
        <v>3642.5616354410877</v>
      </c>
      <c r="AH33" s="122">
        <f t="shared" si="16"/>
        <v>387.50655696181781</v>
      </c>
      <c r="AI33" s="43">
        <v>17</v>
      </c>
      <c r="AJ33" s="74">
        <v>1164.7635184272706</v>
      </c>
      <c r="AK33" s="78">
        <f t="shared" si="17"/>
        <v>68.515501083957091</v>
      </c>
    </row>
    <row r="34" spans="1:37" ht="31.5" customHeight="1" x14ac:dyDescent="0.25">
      <c r="A34" s="42">
        <v>29</v>
      </c>
      <c r="B34" s="51">
        <v>200</v>
      </c>
      <c r="C34" s="52">
        <f t="shared" si="2"/>
        <v>7764</v>
      </c>
      <c r="D34" s="51">
        <v>210</v>
      </c>
      <c r="E34" s="52">
        <f t="shared" si="3"/>
        <v>16304.4</v>
      </c>
      <c r="F34" s="51">
        <v>205</v>
      </c>
      <c r="G34" s="1">
        <f t="shared" si="18"/>
        <v>15916.2</v>
      </c>
      <c r="H34" s="43">
        <v>11</v>
      </c>
      <c r="I34" s="1">
        <f t="shared" si="19"/>
        <v>462</v>
      </c>
      <c r="J34" s="43"/>
      <c r="K34" s="52">
        <f t="shared" si="4"/>
        <v>0</v>
      </c>
      <c r="L34" s="43">
        <v>17</v>
      </c>
      <c r="M34" s="52">
        <f t="shared" si="5"/>
        <v>476</v>
      </c>
      <c r="N34" s="51">
        <v>10</v>
      </c>
      <c r="O34" s="52">
        <f t="shared" si="6"/>
        <v>144.1</v>
      </c>
      <c r="P34" s="51"/>
      <c r="Q34" s="52">
        <f t="shared" si="7"/>
        <v>0</v>
      </c>
      <c r="R34" s="43">
        <v>305</v>
      </c>
      <c r="S34" s="52">
        <f t="shared" si="8"/>
        <v>11590</v>
      </c>
      <c r="T34" s="43">
        <v>204</v>
      </c>
      <c r="U34" s="52">
        <f t="shared" si="9"/>
        <v>2939.64</v>
      </c>
      <c r="V34" s="43">
        <v>19</v>
      </c>
      <c r="W34" s="52">
        <f t="shared" si="10"/>
        <v>532</v>
      </c>
      <c r="X34" s="94">
        <f t="shared" si="11"/>
        <v>56128.34</v>
      </c>
      <c r="Y34" s="92">
        <v>31062.974730581602</v>
      </c>
      <c r="Z34" s="44">
        <f t="shared" si="12"/>
        <v>55.342763977309147</v>
      </c>
      <c r="AA34" s="110">
        <v>75</v>
      </c>
      <c r="AB34" s="78">
        <f t="shared" si="13"/>
        <v>2850</v>
      </c>
      <c r="AC34" s="74"/>
      <c r="AD34" s="105">
        <f t="shared" si="14"/>
        <v>0</v>
      </c>
      <c r="AE34" s="110">
        <v>47</v>
      </c>
      <c r="AF34" s="78">
        <f t="shared" si="15"/>
        <v>940</v>
      </c>
      <c r="AG34" s="74"/>
      <c r="AH34" s="122">
        <f t="shared" si="16"/>
        <v>0</v>
      </c>
      <c r="AI34" s="43">
        <v>17</v>
      </c>
      <c r="AJ34" s="74">
        <v>939.2472248481771</v>
      </c>
      <c r="AK34" s="78">
        <f t="shared" si="17"/>
        <v>55.249836755775121</v>
      </c>
    </row>
    <row r="35" spans="1:37" ht="28.5" customHeight="1" x14ac:dyDescent="0.25">
      <c r="A35" s="42">
        <v>30</v>
      </c>
      <c r="B35" s="51">
        <v>200</v>
      </c>
      <c r="C35" s="52">
        <f t="shared" si="2"/>
        <v>7764</v>
      </c>
      <c r="D35" s="51">
        <v>210</v>
      </c>
      <c r="E35" s="52">
        <f t="shared" si="3"/>
        <v>16304.4</v>
      </c>
      <c r="F35" s="51">
        <v>205</v>
      </c>
      <c r="G35" s="1">
        <f t="shared" si="18"/>
        <v>15916.2</v>
      </c>
      <c r="H35" s="43">
        <v>13</v>
      </c>
      <c r="I35" s="1">
        <f t="shared" si="19"/>
        <v>546</v>
      </c>
      <c r="J35" s="43"/>
      <c r="K35" s="52">
        <f t="shared" si="4"/>
        <v>0</v>
      </c>
      <c r="L35" s="43">
        <v>2</v>
      </c>
      <c r="M35" s="52">
        <f t="shared" si="5"/>
        <v>56</v>
      </c>
      <c r="N35" s="51">
        <v>10</v>
      </c>
      <c r="O35" s="52">
        <f t="shared" si="6"/>
        <v>144.1</v>
      </c>
      <c r="P35" s="51"/>
      <c r="Q35" s="52">
        <f t="shared" si="7"/>
        <v>0</v>
      </c>
      <c r="R35" s="43">
        <v>305</v>
      </c>
      <c r="S35" s="52">
        <f t="shared" si="8"/>
        <v>11590</v>
      </c>
      <c r="T35" s="43">
        <v>204</v>
      </c>
      <c r="U35" s="52">
        <f t="shared" si="9"/>
        <v>2939.64</v>
      </c>
      <c r="V35" s="43">
        <v>19</v>
      </c>
      <c r="W35" s="52">
        <f t="shared" si="10"/>
        <v>532</v>
      </c>
      <c r="X35" s="94">
        <f t="shared" si="11"/>
        <v>55792.34</v>
      </c>
      <c r="Y35" s="92">
        <v>32778.105664184513</v>
      </c>
      <c r="Z35" s="44">
        <f t="shared" si="12"/>
        <v>58.7501898364265</v>
      </c>
      <c r="AA35" s="110">
        <v>75</v>
      </c>
      <c r="AB35" s="78">
        <f t="shared" si="13"/>
        <v>2850</v>
      </c>
      <c r="AC35" s="74"/>
      <c r="AD35" s="105">
        <f t="shared" si="14"/>
        <v>0</v>
      </c>
      <c r="AE35" s="110">
        <v>48</v>
      </c>
      <c r="AF35" s="78">
        <f t="shared" si="15"/>
        <v>960</v>
      </c>
      <c r="AG35" s="74">
        <v>87.339726265986712</v>
      </c>
      <c r="AH35" s="122">
        <f t="shared" si="16"/>
        <v>9.0978881527069504</v>
      </c>
      <c r="AI35" s="43">
        <v>17</v>
      </c>
      <c r="AJ35" s="74">
        <v>807.88552319616974</v>
      </c>
      <c r="AK35" s="78">
        <f t="shared" si="17"/>
        <v>47.522677835068805</v>
      </c>
    </row>
    <row r="36" spans="1:37" ht="27.75" customHeight="1" x14ac:dyDescent="0.25">
      <c r="A36" s="42">
        <v>31</v>
      </c>
      <c r="B36" s="51">
        <v>200</v>
      </c>
      <c r="C36" s="52">
        <f t="shared" si="2"/>
        <v>7764</v>
      </c>
      <c r="D36" s="51">
        <v>210</v>
      </c>
      <c r="E36" s="52">
        <f>+D36*77.64</f>
        <v>16304.4</v>
      </c>
      <c r="F36" s="51">
        <v>205</v>
      </c>
      <c r="G36" s="1">
        <f t="shared" si="18"/>
        <v>15916.2</v>
      </c>
      <c r="H36" s="43">
        <v>10</v>
      </c>
      <c r="I36" s="1">
        <f t="shared" si="19"/>
        <v>420</v>
      </c>
      <c r="J36" s="43"/>
      <c r="K36" s="52">
        <f t="shared" si="4"/>
        <v>0</v>
      </c>
      <c r="L36" s="43">
        <v>2</v>
      </c>
      <c r="M36" s="52">
        <f t="shared" si="5"/>
        <v>56</v>
      </c>
      <c r="N36" s="51">
        <v>5</v>
      </c>
      <c r="O36" s="52">
        <f t="shared" si="6"/>
        <v>72.05</v>
      </c>
      <c r="P36" s="51"/>
      <c r="Q36" s="52">
        <f t="shared" si="7"/>
        <v>0</v>
      </c>
      <c r="R36" s="43">
        <v>290</v>
      </c>
      <c r="S36" s="52">
        <f t="shared" si="8"/>
        <v>11020</v>
      </c>
      <c r="T36" s="43">
        <v>58</v>
      </c>
      <c r="U36" s="52">
        <f t="shared" si="9"/>
        <v>835.78</v>
      </c>
      <c r="V36" s="43">
        <v>0</v>
      </c>
      <c r="W36" s="52">
        <f t="shared" si="10"/>
        <v>0</v>
      </c>
      <c r="X36" s="94">
        <f t="shared" si="11"/>
        <v>52388.43</v>
      </c>
      <c r="Y36" s="92">
        <v>38749.387622917864</v>
      </c>
      <c r="Z36" s="44">
        <f t="shared" si="12"/>
        <v>73.965544726035631</v>
      </c>
      <c r="AA36" s="110">
        <v>75</v>
      </c>
      <c r="AB36" s="78">
        <f t="shared" si="13"/>
        <v>2850</v>
      </c>
      <c r="AC36" s="74"/>
      <c r="AD36" s="105">
        <f t="shared" si="14"/>
        <v>0</v>
      </c>
      <c r="AE36" s="110">
        <v>45</v>
      </c>
      <c r="AF36" s="78">
        <f t="shared" si="15"/>
        <v>900</v>
      </c>
      <c r="AG36" s="74">
        <v>3691.8513643691176</v>
      </c>
      <c r="AH36" s="122">
        <f t="shared" si="16"/>
        <v>410.20570715212415</v>
      </c>
      <c r="AI36" s="43">
        <v>17</v>
      </c>
      <c r="AJ36" s="74">
        <v>796.96744119630728</v>
      </c>
      <c r="AK36" s="78">
        <f t="shared" si="17"/>
        <v>46.880437717429842</v>
      </c>
    </row>
    <row r="37" spans="1:37" ht="48" customHeight="1" thickBot="1" x14ac:dyDescent="0.35">
      <c r="A37" s="112" t="s">
        <v>7</v>
      </c>
      <c r="B37" s="113">
        <f t="shared" ref="B37:Y37" si="24">SUM(B6:B36)</f>
        <v>5510</v>
      </c>
      <c r="C37" s="114">
        <f t="shared" si="24"/>
        <v>213898.2</v>
      </c>
      <c r="D37" s="113">
        <f t="shared" si="24"/>
        <v>5750</v>
      </c>
      <c r="E37" s="114">
        <f t="shared" si="24"/>
        <v>446430.00000000012</v>
      </c>
      <c r="F37" s="113">
        <f t="shared" si="24"/>
        <v>5600</v>
      </c>
      <c r="G37" s="114">
        <f t="shared" si="24"/>
        <v>434784.00000000017</v>
      </c>
      <c r="H37" s="113">
        <f t="shared" si="24"/>
        <v>390</v>
      </c>
      <c r="I37" s="114">
        <f t="shared" si="24"/>
        <v>16380</v>
      </c>
      <c r="J37" s="113">
        <f t="shared" si="24"/>
        <v>0</v>
      </c>
      <c r="K37" s="114">
        <f t="shared" si="24"/>
        <v>0</v>
      </c>
      <c r="L37" s="113">
        <f t="shared" si="24"/>
        <v>880</v>
      </c>
      <c r="M37" s="114">
        <f t="shared" si="24"/>
        <v>24640</v>
      </c>
      <c r="N37" s="113">
        <f t="shared" si="24"/>
        <v>326</v>
      </c>
      <c r="O37" s="114">
        <f t="shared" si="24"/>
        <v>4697.6600000000017</v>
      </c>
      <c r="P37" s="113">
        <f t="shared" si="24"/>
        <v>315</v>
      </c>
      <c r="Q37" s="114">
        <f t="shared" si="24"/>
        <v>11970</v>
      </c>
      <c r="R37" s="113">
        <f t="shared" si="24"/>
        <v>9301</v>
      </c>
      <c r="S37" s="114">
        <f t="shared" si="24"/>
        <v>353438</v>
      </c>
      <c r="T37" s="113">
        <f t="shared" si="24"/>
        <v>4693</v>
      </c>
      <c r="U37" s="114">
        <f t="shared" si="24"/>
        <v>67626.13</v>
      </c>
      <c r="V37" s="113">
        <f t="shared" si="24"/>
        <v>373</v>
      </c>
      <c r="W37" s="114">
        <f t="shared" si="24"/>
        <v>10444</v>
      </c>
      <c r="X37" s="115">
        <f t="shared" si="24"/>
        <v>1584307.9900000005</v>
      </c>
      <c r="Y37" s="116">
        <f t="shared" si="24"/>
        <v>824153.67407160508</v>
      </c>
      <c r="Z37" s="117">
        <f>+Y37/X37*100</f>
        <v>52.019789035565289</v>
      </c>
      <c r="AA37" s="118">
        <f>+SUM(AA6:AA36)</f>
        <v>2325</v>
      </c>
      <c r="AB37" s="119">
        <f>SUM(AB6:AB36)</f>
        <v>88350</v>
      </c>
      <c r="AC37" s="120">
        <f>+SUM(AC6:AC36)</f>
        <v>29912.59</v>
      </c>
      <c r="AD37" s="121">
        <f t="shared" si="14"/>
        <v>33.856921335597058</v>
      </c>
      <c r="AE37" s="118">
        <f>SUM(AE6:AE36)</f>
        <v>1587</v>
      </c>
      <c r="AF37" s="119">
        <f t="shared" ref="AF37:AJ37" si="25">SUM(AF6:AF36)</f>
        <v>31740</v>
      </c>
      <c r="AG37" s="120">
        <f t="shared" si="25"/>
        <v>32181.176910583737</v>
      </c>
      <c r="AH37" s="105">
        <f t="shared" si="16"/>
        <v>101.38997136289771</v>
      </c>
      <c r="AI37" s="118"/>
      <c r="AJ37" s="120">
        <f t="shared" si="25"/>
        <v>30502.854229590914</v>
      </c>
      <c r="AK37" s="78" t="e">
        <f>+AJ37/AI37</f>
        <v>#DIV/0!</v>
      </c>
    </row>
    <row r="38" spans="1:37" ht="15.75" thickTop="1" x14ac:dyDescent="0.25"/>
  </sheetData>
  <sheetProtection algorithmName="SHA-512" hashValue="zLmaWL7zTEIsm8slkMFeh7u0KEheILlf1JnBcBLmwTNEsmkR5gW5TtiqCIOYcwdJHqapWLjEM/z8RqgOQ7wQQw==" saltValue="UgRvvZ0hPO62EoI8aI6zKA==" spinCount="100000" sheet="1" scenarios="1" sort="0" autoFilter="0"/>
  <mergeCells count="10">
    <mergeCell ref="AI4:AK4"/>
    <mergeCell ref="A1:AH1"/>
    <mergeCell ref="A2:AH2"/>
    <mergeCell ref="A3:AH3"/>
    <mergeCell ref="A4:A5"/>
    <mergeCell ref="B4:Q4"/>
    <mergeCell ref="R4:W4"/>
    <mergeCell ref="X4:Z4"/>
    <mergeCell ref="AA4:AD4"/>
    <mergeCell ref="AE4:AH4"/>
  </mergeCells>
  <pageMargins left="0.11811023622047245" right="0.11811023622047245" top="0.35433070866141736" bottom="0.35433070866141736" header="0.31496062992125984" footer="0.31496062992125984"/>
  <pageSetup scale="4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5B8C-D99E-40EB-83BC-3F7EA9EDE550}">
  <dimension ref="A1:AI34"/>
  <sheetViews>
    <sheetView topLeftCell="A4" workbookViewId="0">
      <selection activeCell="J36" sqref="J36"/>
    </sheetView>
  </sheetViews>
  <sheetFormatPr defaultRowHeight="15" x14ac:dyDescent="0.25"/>
  <sheetData>
    <row r="1" spans="1:35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10"/>
    </row>
    <row r="2" spans="1:35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10"/>
    </row>
    <row r="3" spans="1:35" ht="21.75" thickBot="1" x14ac:dyDescent="0.4">
      <c r="A3" s="308" t="s">
        <v>61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10"/>
    </row>
    <row r="4" spans="1:35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63</v>
      </c>
      <c r="O4" s="315"/>
      <c r="P4" s="318"/>
      <c r="Q4" s="314" t="s">
        <v>64</v>
      </c>
      <c r="R4" s="315"/>
      <c r="S4" s="318"/>
      <c r="T4" s="314" t="s">
        <v>65</v>
      </c>
      <c r="U4" s="315"/>
      <c r="V4" s="315"/>
      <c r="W4" s="315"/>
      <c r="X4" s="315"/>
      <c r="Y4" s="318"/>
      <c r="Z4" s="378" t="s">
        <v>66</v>
      </c>
      <c r="AA4" s="379"/>
      <c r="AB4" s="379"/>
      <c r="AC4" s="379"/>
      <c r="AD4" s="379"/>
      <c r="AE4" s="380"/>
      <c r="AF4" s="320" t="s">
        <v>67</v>
      </c>
      <c r="AG4" s="321"/>
      <c r="AH4" s="322"/>
      <c r="AI4" s="144" t="s">
        <v>68</v>
      </c>
    </row>
    <row r="5" spans="1:35" ht="39.75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48" t="s">
        <v>69</v>
      </c>
      <c r="O5" s="149" t="s">
        <v>0</v>
      </c>
      <c r="P5" s="150" t="s">
        <v>70</v>
      </c>
      <c r="Q5" s="148" t="s">
        <v>69</v>
      </c>
      <c r="R5" s="149" t="s">
        <v>0</v>
      </c>
      <c r="S5" s="150" t="s">
        <v>70</v>
      </c>
      <c r="T5" s="151" t="s">
        <v>71</v>
      </c>
      <c r="U5" s="152" t="s">
        <v>72</v>
      </c>
      <c r="V5" s="152" t="s">
        <v>73</v>
      </c>
      <c r="W5" s="153" t="s">
        <v>21</v>
      </c>
      <c r="X5" s="153" t="s">
        <v>74</v>
      </c>
      <c r="Y5" s="154" t="s">
        <v>16</v>
      </c>
      <c r="Z5" s="155" t="s">
        <v>2</v>
      </c>
      <c r="AA5" s="156" t="s">
        <v>3</v>
      </c>
      <c r="AB5" s="156" t="s">
        <v>4</v>
      </c>
      <c r="AC5" s="157" t="s">
        <v>69</v>
      </c>
      <c r="AD5" s="158" t="s">
        <v>0</v>
      </c>
      <c r="AE5" s="159" t="s">
        <v>70</v>
      </c>
      <c r="AF5" s="160" t="s">
        <v>75</v>
      </c>
      <c r="AG5" s="161" t="s">
        <v>30</v>
      </c>
      <c r="AH5" s="162" t="s">
        <v>76</v>
      </c>
      <c r="AI5" s="144" t="s">
        <v>68</v>
      </c>
    </row>
    <row r="6" spans="1:35" x14ac:dyDescent="0.25">
      <c r="A6" s="163">
        <v>45689</v>
      </c>
      <c r="B6" s="164">
        <v>85</v>
      </c>
      <c r="C6" s="165">
        <v>95</v>
      </c>
      <c r="D6" s="165">
        <v>85</v>
      </c>
      <c r="E6" s="165">
        <v>59</v>
      </c>
      <c r="F6" s="165">
        <v>290</v>
      </c>
      <c r="G6" s="165"/>
      <c r="H6" s="165">
        <f>B6*0.2+SUM(C6:F6)*0.4</f>
        <v>228.60000000000002</v>
      </c>
      <c r="I6" s="165">
        <v>23168.660786868761</v>
      </c>
      <c r="J6" s="166">
        <f>I6/H6</f>
        <v>101.35022216478022</v>
      </c>
      <c r="K6" s="164">
        <v>34</v>
      </c>
      <c r="L6" s="167">
        <v>3601.9666808714292</v>
      </c>
      <c r="M6" s="168">
        <f>L6/K6</f>
        <v>105.9401964962185</v>
      </c>
      <c r="N6" s="164">
        <v>75</v>
      </c>
      <c r="O6" s="167">
        <v>2062.1927751210455</v>
      </c>
      <c r="P6" s="168">
        <f>O6/N6</f>
        <v>27.495903668280608</v>
      </c>
      <c r="Q6" s="164">
        <v>75</v>
      </c>
      <c r="R6" s="165">
        <v>7815.8120302685993</v>
      </c>
      <c r="S6" s="168">
        <f>R6/Q6</f>
        <v>104.21082707024799</v>
      </c>
      <c r="T6" s="164"/>
      <c r="U6" s="165">
        <v>0</v>
      </c>
      <c r="V6" s="165"/>
      <c r="W6" s="165">
        <v>30</v>
      </c>
      <c r="X6" s="165">
        <v>110.39999999999998</v>
      </c>
      <c r="Y6" s="169"/>
      <c r="Z6" s="164"/>
      <c r="AA6" s="165"/>
      <c r="AB6" s="165"/>
      <c r="AC6" s="165"/>
      <c r="AD6" s="165"/>
      <c r="AE6" s="169" t="e">
        <f>AD6/AC6</f>
        <v>#DIV/0!</v>
      </c>
      <c r="AF6" s="170">
        <v>92</v>
      </c>
      <c r="AG6" s="171">
        <v>1063.4245868960554</v>
      </c>
      <c r="AH6" s="172">
        <f>AG6/AF6</f>
        <v>11.558962901044081</v>
      </c>
      <c r="AI6" s="173">
        <f>I6+Y6+AD6+AG6+L6+O6+R6</f>
        <v>37712.056860025892</v>
      </c>
    </row>
    <row r="7" spans="1:35" x14ac:dyDescent="0.25">
      <c r="A7" s="174">
        <v>45690</v>
      </c>
      <c r="B7" s="175">
        <v>200</v>
      </c>
      <c r="C7" s="176">
        <v>210</v>
      </c>
      <c r="D7" s="176">
        <v>205</v>
      </c>
      <c r="E7" s="176">
        <v>59</v>
      </c>
      <c r="F7" s="176">
        <v>305</v>
      </c>
      <c r="G7" s="176"/>
      <c r="H7" s="165">
        <f t="shared" ref="H7:H33" si="0">B7*0.2+SUM(C7:F7)*0.4</f>
        <v>351.6</v>
      </c>
      <c r="I7" s="176">
        <v>24398.831712937368</v>
      </c>
      <c r="J7" s="166">
        <f t="shared" ref="J7:J33" si="1">I7/H7</f>
        <v>69.393719320072151</v>
      </c>
      <c r="K7" s="175">
        <v>38</v>
      </c>
      <c r="L7" s="177"/>
      <c r="M7" s="178">
        <f t="shared" ref="M7:M33" si="2">L7/K7</f>
        <v>0</v>
      </c>
      <c r="N7" s="164">
        <v>75</v>
      </c>
      <c r="O7" s="177">
        <v>2443.7436119737681</v>
      </c>
      <c r="P7" s="178">
        <f t="shared" ref="P7:P33" si="3">O7/N7</f>
        <v>32.583248159650239</v>
      </c>
      <c r="Q7" s="175">
        <v>75</v>
      </c>
      <c r="R7" s="176"/>
      <c r="S7" s="178">
        <f t="shared" ref="S7:S33" si="4">R7/Q7</f>
        <v>0</v>
      </c>
      <c r="T7" s="175"/>
      <c r="U7" s="176">
        <v>159</v>
      </c>
      <c r="V7" s="177">
        <v>2086.6163612952182</v>
      </c>
      <c r="W7" s="176">
        <v>181</v>
      </c>
      <c r="X7" s="165">
        <v>567.98040930382797</v>
      </c>
      <c r="Y7" s="179"/>
      <c r="Z7" s="175"/>
      <c r="AA7" s="176"/>
      <c r="AB7" s="176"/>
      <c r="AC7" s="176"/>
      <c r="AD7" s="176"/>
      <c r="AE7" s="179"/>
      <c r="AF7" s="180">
        <v>92</v>
      </c>
      <c r="AG7" s="104">
        <v>1105.9224392351462</v>
      </c>
      <c r="AH7" s="172">
        <f>AG7/AF7</f>
        <v>12.020896078642894</v>
      </c>
      <c r="AI7" s="173">
        <f t="shared" ref="AI7:AI33" si="5">I7+Y7+AD7+AG7</f>
        <v>25504.754152172514</v>
      </c>
    </row>
    <row r="8" spans="1:35" x14ac:dyDescent="0.25">
      <c r="A8" s="174">
        <v>45691</v>
      </c>
      <c r="B8" s="175">
        <v>200</v>
      </c>
      <c r="C8" s="176">
        <v>210</v>
      </c>
      <c r="D8" s="176">
        <v>205</v>
      </c>
      <c r="E8" s="176">
        <v>79</v>
      </c>
      <c r="F8" s="176">
        <v>305</v>
      </c>
      <c r="G8" s="176">
        <v>35</v>
      </c>
      <c r="H8" s="165">
        <f t="shared" si="0"/>
        <v>359.6</v>
      </c>
      <c r="I8" s="176">
        <v>19813.471324776241</v>
      </c>
      <c r="J8" s="166">
        <f t="shared" si="1"/>
        <v>55.098641058888319</v>
      </c>
      <c r="K8" s="175">
        <v>36</v>
      </c>
      <c r="L8" s="177"/>
      <c r="M8" s="178">
        <f t="shared" si="2"/>
        <v>0</v>
      </c>
      <c r="N8" s="164">
        <v>75</v>
      </c>
      <c r="O8" s="177">
        <v>2128.373506831158</v>
      </c>
      <c r="P8" s="178">
        <f t="shared" si="3"/>
        <v>28.378313424415442</v>
      </c>
      <c r="Q8" s="175">
        <v>75</v>
      </c>
      <c r="R8" s="176"/>
      <c r="S8" s="178">
        <f t="shared" si="4"/>
        <v>0</v>
      </c>
      <c r="T8" s="175"/>
      <c r="U8" s="176">
        <v>38</v>
      </c>
      <c r="V8" s="177">
        <v>574.79489054893577</v>
      </c>
      <c r="W8" s="176">
        <v>179</v>
      </c>
      <c r="X8" s="165">
        <v>819.34766908280017</v>
      </c>
      <c r="Y8" s="179"/>
      <c r="Z8" s="175"/>
      <c r="AA8" s="176"/>
      <c r="AB8" s="176"/>
      <c r="AC8" s="176"/>
      <c r="AD8" s="176"/>
      <c r="AE8" s="179"/>
      <c r="AF8" s="180">
        <v>92</v>
      </c>
      <c r="AG8" s="104">
        <v>1073.7656580515918</v>
      </c>
      <c r="AH8" s="172"/>
      <c r="AI8" s="173">
        <f t="shared" si="5"/>
        <v>20887.236982827832</v>
      </c>
    </row>
    <row r="9" spans="1:35" x14ac:dyDescent="0.25">
      <c r="A9" s="174">
        <v>45692</v>
      </c>
      <c r="B9" s="175">
        <v>200</v>
      </c>
      <c r="C9" s="176">
        <v>210</v>
      </c>
      <c r="D9" s="176">
        <v>205</v>
      </c>
      <c r="E9" s="176">
        <v>78</v>
      </c>
      <c r="F9" s="176">
        <v>305</v>
      </c>
      <c r="G9" s="176"/>
      <c r="H9" s="165">
        <f t="shared" si="0"/>
        <v>359.20000000000005</v>
      </c>
      <c r="I9" s="176">
        <v>33121.782494250991</v>
      </c>
      <c r="J9" s="181">
        <f t="shared" si="1"/>
        <v>92.209862177758865</v>
      </c>
      <c r="K9" s="175">
        <v>33</v>
      </c>
      <c r="L9" s="177"/>
      <c r="M9" s="178">
        <f t="shared" si="2"/>
        <v>0</v>
      </c>
      <c r="N9" s="164">
        <v>75</v>
      </c>
      <c r="O9" s="177">
        <v>2064.6001240193127</v>
      </c>
      <c r="P9" s="178">
        <f t="shared" si="3"/>
        <v>27.528001653590835</v>
      </c>
      <c r="Q9" s="175">
        <v>75</v>
      </c>
      <c r="R9" s="176"/>
      <c r="S9" s="178">
        <f t="shared" si="4"/>
        <v>0</v>
      </c>
      <c r="T9" s="175"/>
      <c r="U9" s="176">
        <v>19</v>
      </c>
      <c r="V9" s="177">
        <v>225</v>
      </c>
      <c r="W9" s="176">
        <v>179</v>
      </c>
      <c r="X9" s="165">
        <v>798.39233133227708</v>
      </c>
      <c r="Y9" s="179"/>
      <c r="Z9" s="175"/>
      <c r="AA9" s="176"/>
      <c r="AB9" s="176"/>
      <c r="AC9" s="176"/>
      <c r="AD9" s="176"/>
      <c r="AE9" s="179"/>
      <c r="AF9" s="180">
        <v>92</v>
      </c>
      <c r="AG9" s="104">
        <v>1094.0155793143576</v>
      </c>
      <c r="AH9" s="172"/>
      <c r="AI9" s="173">
        <f t="shared" si="5"/>
        <v>34215.798073565347</v>
      </c>
    </row>
    <row r="10" spans="1:35" x14ac:dyDescent="0.25">
      <c r="A10" s="174">
        <v>45693</v>
      </c>
      <c r="B10" s="175">
        <v>200</v>
      </c>
      <c r="C10" s="176">
        <v>210</v>
      </c>
      <c r="D10" s="176">
        <v>205</v>
      </c>
      <c r="E10" s="176">
        <v>66</v>
      </c>
      <c r="F10" s="176">
        <v>305</v>
      </c>
      <c r="G10" s="176">
        <v>45</v>
      </c>
      <c r="H10" s="165">
        <f t="shared" si="0"/>
        <v>354.40000000000003</v>
      </c>
      <c r="I10" s="176">
        <v>32749.152830669718</v>
      </c>
      <c r="J10" s="181">
        <f t="shared" si="1"/>
        <v>92.407316113627871</v>
      </c>
      <c r="K10" s="175">
        <v>40</v>
      </c>
      <c r="L10" s="177">
        <v>3823.2070563251236</v>
      </c>
      <c r="M10" s="178">
        <f t="shared" si="2"/>
        <v>95.580176408128096</v>
      </c>
      <c r="N10" s="164">
        <v>75</v>
      </c>
      <c r="O10" s="177">
        <v>2471.1181794338927</v>
      </c>
      <c r="P10" s="178">
        <f t="shared" si="3"/>
        <v>32.948242392451903</v>
      </c>
      <c r="Q10" s="175">
        <v>75</v>
      </c>
      <c r="R10" s="176"/>
      <c r="S10" s="178">
        <f t="shared" si="4"/>
        <v>0</v>
      </c>
      <c r="T10" s="175"/>
      <c r="U10" s="176">
        <v>19</v>
      </c>
      <c r="V10" s="177">
        <v>235.5</v>
      </c>
      <c r="W10" s="176">
        <v>179</v>
      </c>
      <c r="X10" s="165">
        <v>735.20316492140535</v>
      </c>
      <c r="Y10" s="179"/>
      <c r="Z10" s="175"/>
      <c r="AA10" s="176"/>
      <c r="AB10" s="176"/>
      <c r="AC10" s="176"/>
      <c r="AD10" s="176"/>
      <c r="AE10" s="179"/>
      <c r="AF10" s="180">
        <v>92</v>
      </c>
      <c r="AG10" s="104">
        <v>1085.0275152745935</v>
      </c>
      <c r="AH10" s="172"/>
      <c r="AI10" s="173">
        <f t="shared" si="5"/>
        <v>33834.180345944311</v>
      </c>
    </row>
    <row r="11" spans="1:35" x14ac:dyDescent="0.25">
      <c r="A11" s="174">
        <v>45694</v>
      </c>
      <c r="B11" s="175">
        <v>200</v>
      </c>
      <c r="C11" s="176">
        <v>210</v>
      </c>
      <c r="D11" s="176">
        <v>205</v>
      </c>
      <c r="E11" s="176">
        <v>72</v>
      </c>
      <c r="F11" s="176">
        <v>310</v>
      </c>
      <c r="G11" s="176"/>
      <c r="H11" s="165">
        <f t="shared" si="0"/>
        <v>358.8</v>
      </c>
      <c r="I11" s="176">
        <v>26263.753229055215</v>
      </c>
      <c r="J11" s="181">
        <f t="shared" si="1"/>
        <v>73.198866301714645</v>
      </c>
      <c r="K11" s="175">
        <v>33</v>
      </c>
      <c r="L11" s="177"/>
      <c r="M11" s="178">
        <f t="shared" si="2"/>
        <v>0</v>
      </c>
      <c r="N11" s="164">
        <v>75</v>
      </c>
      <c r="O11" s="177">
        <v>2120.2312505080481</v>
      </c>
      <c r="P11" s="178">
        <f t="shared" si="3"/>
        <v>28.269750006773975</v>
      </c>
      <c r="Q11" s="175">
        <v>75</v>
      </c>
      <c r="R11" s="176"/>
      <c r="S11" s="178">
        <f t="shared" si="4"/>
        <v>0</v>
      </c>
      <c r="T11" s="175"/>
      <c r="U11" s="176">
        <v>19</v>
      </c>
      <c r="V11" s="177">
        <v>262.5</v>
      </c>
      <c r="W11" s="176">
        <v>179</v>
      </c>
      <c r="X11" s="165">
        <v>910.96808456602071</v>
      </c>
      <c r="Y11" s="179"/>
      <c r="Z11" s="175"/>
      <c r="AA11" s="176"/>
      <c r="AB11" s="176"/>
      <c r="AC11" s="176"/>
      <c r="AD11" s="176"/>
      <c r="AE11" s="179"/>
      <c r="AF11" s="180">
        <v>92</v>
      </c>
      <c r="AG11" s="104">
        <v>1098.1647686724891</v>
      </c>
      <c r="AH11" s="172"/>
      <c r="AI11" s="173">
        <f t="shared" si="5"/>
        <v>27361.917997727705</v>
      </c>
    </row>
    <row r="12" spans="1:35" x14ac:dyDescent="0.25">
      <c r="A12" s="174">
        <v>45695</v>
      </c>
      <c r="B12" s="175">
        <v>85</v>
      </c>
      <c r="C12" s="176">
        <v>95</v>
      </c>
      <c r="D12" s="176">
        <v>85</v>
      </c>
      <c r="E12" s="176">
        <v>69</v>
      </c>
      <c r="F12" s="176">
        <v>297</v>
      </c>
      <c r="G12" s="176"/>
      <c r="H12" s="165">
        <f t="shared" si="0"/>
        <v>235.4</v>
      </c>
      <c r="I12" s="176">
        <v>20885.057223671247</v>
      </c>
      <c r="J12" s="181">
        <f t="shared" si="1"/>
        <v>88.721568494780144</v>
      </c>
      <c r="K12" s="175">
        <v>40</v>
      </c>
      <c r="L12" s="177">
        <v>1588.0521256599138</v>
      </c>
      <c r="M12" s="178">
        <f t="shared" si="2"/>
        <v>39.701303141497846</v>
      </c>
      <c r="N12" s="164">
        <v>75</v>
      </c>
      <c r="O12" s="177">
        <v>2199.9593288203887</v>
      </c>
      <c r="P12" s="178">
        <f t="shared" si="3"/>
        <v>29.332791050938514</v>
      </c>
      <c r="Q12" s="175">
        <v>75</v>
      </c>
      <c r="R12" s="176"/>
      <c r="S12" s="178">
        <f t="shared" si="4"/>
        <v>0</v>
      </c>
      <c r="T12" s="175"/>
      <c r="U12" s="176">
        <v>0</v>
      </c>
      <c r="V12" s="177"/>
      <c r="W12" s="176">
        <v>30</v>
      </c>
      <c r="X12" s="165">
        <v>485.6724447520532</v>
      </c>
      <c r="Y12" s="179"/>
      <c r="Z12" s="175"/>
      <c r="AA12" s="176"/>
      <c r="AB12" s="176"/>
      <c r="AC12" s="176"/>
      <c r="AD12" s="176"/>
      <c r="AE12" s="179"/>
      <c r="AF12" s="180">
        <v>92</v>
      </c>
      <c r="AG12" s="104">
        <v>1078.9236705097437</v>
      </c>
      <c r="AH12" s="172"/>
      <c r="AI12" s="173">
        <f t="shared" si="5"/>
        <v>21963.98089418099</v>
      </c>
    </row>
    <row r="13" spans="1:35" x14ac:dyDescent="0.25">
      <c r="A13" s="174">
        <v>45696</v>
      </c>
      <c r="B13" s="175">
        <v>85</v>
      </c>
      <c r="C13" s="176">
        <v>95</v>
      </c>
      <c r="D13" s="176">
        <v>85</v>
      </c>
      <c r="E13" s="176">
        <v>58</v>
      </c>
      <c r="F13" s="176">
        <v>290</v>
      </c>
      <c r="G13" s="176"/>
      <c r="H13" s="165">
        <f t="shared" si="0"/>
        <v>228.20000000000002</v>
      </c>
      <c r="I13" s="176">
        <v>23013.125428113934</v>
      </c>
      <c r="J13" s="181">
        <f t="shared" si="1"/>
        <v>100.84629898384721</v>
      </c>
      <c r="K13" s="175">
        <v>35</v>
      </c>
      <c r="L13" s="177"/>
      <c r="M13" s="178">
        <f t="shared" si="2"/>
        <v>0</v>
      </c>
      <c r="N13" s="164">
        <v>75</v>
      </c>
      <c r="O13" s="177">
        <v>2327.3281764295866</v>
      </c>
      <c r="P13" s="178">
        <f t="shared" si="3"/>
        <v>31.03104235239449</v>
      </c>
      <c r="Q13" s="175">
        <v>75</v>
      </c>
      <c r="R13" s="176">
        <v>8228.5131800842628</v>
      </c>
      <c r="S13" s="178">
        <f t="shared" si="4"/>
        <v>109.71350906779017</v>
      </c>
      <c r="T13" s="175"/>
      <c r="U13" s="176">
        <v>0</v>
      </c>
      <c r="V13" s="177"/>
      <c r="W13" s="176">
        <v>30</v>
      </c>
      <c r="X13" s="165"/>
      <c r="Y13" s="179"/>
      <c r="Z13" s="175"/>
      <c r="AA13" s="176"/>
      <c r="AB13" s="176"/>
      <c r="AC13" s="176"/>
      <c r="AD13" s="176"/>
      <c r="AE13" s="179"/>
      <c r="AF13" s="180">
        <v>92</v>
      </c>
      <c r="AG13" s="104">
        <v>1061.5394395239964</v>
      </c>
      <c r="AH13" s="172"/>
      <c r="AI13" s="173">
        <f t="shared" si="5"/>
        <v>24074.66486763793</v>
      </c>
    </row>
    <row r="14" spans="1:35" x14ac:dyDescent="0.25">
      <c r="A14" s="174">
        <v>45697</v>
      </c>
      <c r="B14" s="175">
        <v>200</v>
      </c>
      <c r="C14" s="176">
        <v>210</v>
      </c>
      <c r="D14" s="176">
        <v>205</v>
      </c>
      <c r="E14" s="176">
        <v>68</v>
      </c>
      <c r="F14" s="176">
        <v>300</v>
      </c>
      <c r="G14" s="176"/>
      <c r="H14" s="165">
        <f t="shared" si="0"/>
        <v>353.20000000000005</v>
      </c>
      <c r="I14" s="176">
        <v>34871.083046265703</v>
      </c>
      <c r="J14" s="181">
        <f t="shared" si="1"/>
        <v>98.729000697241503</v>
      </c>
      <c r="K14" s="175">
        <v>40</v>
      </c>
      <c r="L14" s="177">
        <v>4016.0153594505132</v>
      </c>
      <c r="M14" s="178">
        <f t="shared" si="2"/>
        <v>100.40038398626282</v>
      </c>
      <c r="N14" s="164">
        <v>75</v>
      </c>
      <c r="O14" s="177">
        <v>2298.2658710288028</v>
      </c>
      <c r="P14" s="178">
        <f t="shared" si="3"/>
        <v>30.643544947050703</v>
      </c>
      <c r="Q14" s="175">
        <v>75</v>
      </c>
      <c r="R14" s="176"/>
      <c r="S14" s="178">
        <f t="shared" si="4"/>
        <v>0</v>
      </c>
      <c r="T14" s="175"/>
      <c r="U14" s="176">
        <v>160</v>
      </c>
      <c r="V14" s="177">
        <v>2886.7380941086717</v>
      </c>
      <c r="W14" s="176">
        <v>181</v>
      </c>
      <c r="X14" s="176">
        <v>1105.4874949669288</v>
      </c>
      <c r="Y14" s="179"/>
      <c r="Z14" s="175"/>
      <c r="AA14" s="176"/>
      <c r="AB14" s="176"/>
      <c r="AC14" s="176"/>
      <c r="AD14" s="176"/>
      <c r="AE14" s="179"/>
      <c r="AF14" s="180">
        <v>98</v>
      </c>
      <c r="AG14" s="104">
        <v>1153.5457816146431</v>
      </c>
      <c r="AH14" s="172"/>
      <c r="AI14" s="173">
        <f t="shared" si="5"/>
        <v>36024.628827880348</v>
      </c>
    </row>
    <row r="15" spans="1:35" x14ac:dyDescent="0.25">
      <c r="A15" s="174">
        <v>45698</v>
      </c>
      <c r="B15" s="175">
        <v>200</v>
      </c>
      <c r="C15" s="176">
        <v>210</v>
      </c>
      <c r="D15" s="176">
        <v>205</v>
      </c>
      <c r="E15" s="176">
        <v>61</v>
      </c>
      <c r="F15" s="176">
        <v>300</v>
      </c>
      <c r="G15" s="176"/>
      <c r="H15" s="165">
        <f t="shared" si="0"/>
        <v>350.40000000000003</v>
      </c>
      <c r="I15" s="176">
        <v>31674.463718902105</v>
      </c>
      <c r="J15" s="181">
        <f t="shared" si="1"/>
        <v>90.395159015131568</v>
      </c>
      <c r="K15" s="175">
        <v>40</v>
      </c>
      <c r="L15" s="177"/>
      <c r="M15" s="178">
        <f t="shared" si="2"/>
        <v>0</v>
      </c>
      <c r="N15" s="164">
        <v>75</v>
      </c>
      <c r="O15" s="177">
        <v>2266.2842163684859</v>
      </c>
      <c r="P15" s="178">
        <f t="shared" si="3"/>
        <v>30.217122884913145</v>
      </c>
      <c r="Q15" s="175">
        <v>75</v>
      </c>
      <c r="R15" s="176"/>
      <c r="S15" s="178">
        <f t="shared" si="4"/>
        <v>0</v>
      </c>
      <c r="T15" s="175"/>
      <c r="U15" s="176">
        <v>29</v>
      </c>
      <c r="V15" s="177">
        <v>302.11785996868741</v>
      </c>
      <c r="W15" s="176">
        <v>207</v>
      </c>
      <c r="X15" s="176">
        <v>842.31961857846147</v>
      </c>
      <c r="Y15" s="179"/>
      <c r="Z15" s="175"/>
      <c r="AA15" s="176"/>
      <c r="AB15" s="176"/>
      <c r="AC15" s="176"/>
      <c r="AD15" s="176"/>
      <c r="AE15" s="179"/>
      <c r="AF15" s="180">
        <v>96</v>
      </c>
      <c r="AG15" s="104">
        <v>1104.5748399068871</v>
      </c>
      <c r="AH15" s="182"/>
      <c r="AI15" s="173">
        <f t="shared" si="5"/>
        <v>32779.038558808992</v>
      </c>
    </row>
    <row r="16" spans="1:35" x14ac:dyDescent="0.25">
      <c r="A16" s="174">
        <v>45699</v>
      </c>
      <c r="B16" s="175">
        <v>200</v>
      </c>
      <c r="C16" s="176">
        <v>210</v>
      </c>
      <c r="D16" s="176">
        <v>205</v>
      </c>
      <c r="E16" s="176">
        <v>59</v>
      </c>
      <c r="F16" s="176">
        <v>300</v>
      </c>
      <c r="G16" s="176"/>
      <c r="H16" s="165">
        <f t="shared" si="0"/>
        <v>349.6</v>
      </c>
      <c r="I16" s="176">
        <v>32903.16587950258</v>
      </c>
      <c r="J16" s="181">
        <f t="shared" si="1"/>
        <v>94.116607206815146</v>
      </c>
      <c r="K16" s="175">
        <v>40</v>
      </c>
      <c r="L16" s="177"/>
      <c r="M16" s="178">
        <f t="shared" si="2"/>
        <v>0</v>
      </c>
      <c r="N16" s="164">
        <v>75</v>
      </c>
      <c r="O16" s="177">
        <v>2258.9029052198562</v>
      </c>
      <c r="P16" s="178">
        <f t="shared" si="3"/>
        <v>30.118705402931415</v>
      </c>
      <c r="Q16" s="175">
        <v>75</v>
      </c>
      <c r="R16" s="176"/>
      <c r="S16" s="178">
        <f t="shared" si="4"/>
        <v>0</v>
      </c>
      <c r="T16" s="175"/>
      <c r="U16" s="176">
        <v>19</v>
      </c>
      <c r="V16" s="177">
        <v>225</v>
      </c>
      <c r="W16" s="176">
        <v>228</v>
      </c>
      <c r="X16" s="176">
        <v>783.57999024906599</v>
      </c>
      <c r="Y16" s="179"/>
      <c r="Z16" s="175"/>
      <c r="AA16" s="176"/>
      <c r="AB16" s="176"/>
      <c r="AC16" s="176"/>
      <c r="AD16" s="176"/>
      <c r="AE16" s="179"/>
      <c r="AF16" s="180">
        <v>96</v>
      </c>
      <c r="AG16" s="104">
        <v>1140.0197873143529</v>
      </c>
      <c r="AH16" s="182"/>
      <c r="AI16" s="173">
        <f t="shared" si="5"/>
        <v>34043.185666816935</v>
      </c>
    </row>
    <row r="17" spans="1:35" x14ac:dyDescent="0.25">
      <c r="A17" s="174">
        <v>45700</v>
      </c>
      <c r="B17" s="175">
        <v>200</v>
      </c>
      <c r="C17" s="176">
        <v>210</v>
      </c>
      <c r="D17" s="176">
        <v>205</v>
      </c>
      <c r="E17" s="176">
        <v>63</v>
      </c>
      <c r="F17" s="176">
        <v>300</v>
      </c>
      <c r="G17" s="176"/>
      <c r="H17" s="165">
        <f t="shared" si="0"/>
        <v>351.20000000000005</v>
      </c>
      <c r="I17" s="176">
        <v>36929.106074941781</v>
      </c>
      <c r="J17" s="181">
        <f t="shared" si="1"/>
        <v>105.15121319744242</v>
      </c>
      <c r="K17" s="175">
        <v>49</v>
      </c>
      <c r="L17" s="177">
        <v>4905.9384855838889</v>
      </c>
      <c r="M17" s="178">
        <f t="shared" si="2"/>
        <v>100.12119358334468</v>
      </c>
      <c r="N17" s="164">
        <v>75</v>
      </c>
      <c r="O17" s="177">
        <v>2245.6392767547641</v>
      </c>
      <c r="P17" s="178">
        <f t="shared" si="3"/>
        <v>29.941857023396853</v>
      </c>
      <c r="Q17" s="175">
        <v>75</v>
      </c>
      <c r="R17" s="176"/>
      <c r="S17" s="178">
        <f t="shared" si="4"/>
        <v>0</v>
      </c>
      <c r="T17" s="175"/>
      <c r="U17" s="176">
        <v>29</v>
      </c>
      <c r="V17" s="177">
        <v>345.99880106122464</v>
      </c>
      <c r="W17" s="176">
        <v>225</v>
      </c>
      <c r="X17" s="176">
        <v>795.22984133126943</v>
      </c>
      <c r="Y17" s="179"/>
      <c r="Z17" s="175"/>
      <c r="AA17" s="176"/>
      <c r="AB17" s="176"/>
      <c r="AC17" s="176"/>
      <c r="AD17" s="176"/>
      <c r="AE17" s="179"/>
      <c r="AF17" s="180">
        <v>96</v>
      </c>
      <c r="AG17" s="104">
        <v>1097.9225232063784</v>
      </c>
      <c r="AH17" s="182"/>
      <c r="AI17" s="173">
        <f t="shared" si="5"/>
        <v>38027.028598148157</v>
      </c>
    </row>
    <row r="18" spans="1:35" x14ac:dyDescent="0.25">
      <c r="A18" s="174">
        <v>45701</v>
      </c>
      <c r="B18" s="175">
        <v>200</v>
      </c>
      <c r="C18" s="176">
        <v>210</v>
      </c>
      <c r="D18" s="176">
        <v>205</v>
      </c>
      <c r="E18" s="176">
        <v>62</v>
      </c>
      <c r="F18" s="176">
        <v>300</v>
      </c>
      <c r="G18" s="176"/>
      <c r="H18" s="165">
        <f t="shared" si="0"/>
        <v>350.8</v>
      </c>
      <c r="I18" s="176">
        <v>32445.041588466869</v>
      </c>
      <c r="J18" s="181">
        <f t="shared" si="1"/>
        <v>92.488716044660393</v>
      </c>
      <c r="K18" s="175">
        <v>35</v>
      </c>
      <c r="L18" s="177"/>
      <c r="M18" s="178">
        <f t="shared" si="2"/>
        <v>0</v>
      </c>
      <c r="N18" s="164">
        <v>75</v>
      </c>
      <c r="O18" s="177">
        <v>2245.0223567425651</v>
      </c>
      <c r="P18" s="178">
        <f t="shared" si="3"/>
        <v>29.9336314232342</v>
      </c>
      <c r="Q18" s="175">
        <v>75</v>
      </c>
      <c r="R18" s="176"/>
      <c r="S18" s="178">
        <f t="shared" si="4"/>
        <v>0</v>
      </c>
      <c r="T18" s="175"/>
      <c r="U18" s="176">
        <v>16</v>
      </c>
      <c r="V18" s="177">
        <v>263</v>
      </c>
      <c r="W18" s="176">
        <v>204</v>
      </c>
      <c r="X18" s="176">
        <v>802.48262808100094</v>
      </c>
      <c r="Y18" s="179"/>
      <c r="Z18" s="175"/>
      <c r="AA18" s="176"/>
      <c r="AB18" s="176"/>
      <c r="AC18" s="176"/>
      <c r="AD18" s="176"/>
      <c r="AE18" s="179"/>
      <c r="AF18" s="180">
        <v>96</v>
      </c>
      <c r="AG18" s="104">
        <v>1169.7842941338533</v>
      </c>
      <c r="AH18" s="182"/>
      <c r="AI18" s="173">
        <f t="shared" si="5"/>
        <v>33614.825882600722</v>
      </c>
    </row>
    <row r="19" spans="1:35" x14ac:dyDescent="0.25">
      <c r="A19" s="174">
        <v>45702</v>
      </c>
      <c r="B19" s="175">
        <v>85</v>
      </c>
      <c r="C19" s="176">
        <v>95</v>
      </c>
      <c r="D19" s="176">
        <v>85</v>
      </c>
      <c r="E19" s="176">
        <v>50</v>
      </c>
      <c r="F19" s="176">
        <v>285</v>
      </c>
      <c r="G19" s="176"/>
      <c r="H19" s="165">
        <f t="shared" si="0"/>
        <v>223</v>
      </c>
      <c r="I19" s="176">
        <v>21080.136738667978</v>
      </c>
      <c r="J19" s="181">
        <f t="shared" si="1"/>
        <v>94.529761159946091</v>
      </c>
      <c r="K19" s="175">
        <v>41</v>
      </c>
      <c r="L19" s="177"/>
      <c r="M19" s="178">
        <f t="shared" si="2"/>
        <v>0</v>
      </c>
      <c r="N19" s="164">
        <v>75</v>
      </c>
      <c r="O19" s="177">
        <v>2467.4357297894908</v>
      </c>
      <c r="P19" s="178">
        <f t="shared" si="3"/>
        <v>32.899143063859874</v>
      </c>
      <c r="Q19" s="175">
        <v>75</v>
      </c>
      <c r="R19" s="176"/>
      <c r="S19" s="178">
        <f t="shared" si="4"/>
        <v>0</v>
      </c>
      <c r="T19" s="175"/>
      <c r="U19" s="176">
        <v>0</v>
      </c>
      <c r="V19" s="177"/>
      <c r="W19" s="176">
        <v>51</v>
      </c>
      <c r="X19" s="176">
        <v>341.64296518282993</v>
      </c>
      <c r="Y19" s="179"/>
      <c r="Z19" s="175"/>
      <c r="AA19" s="176"/>
      <c r="AB19" s="176"/>
      <c r="AC19" s="176"/>
      <c r="AD19" s="176"/>
      <c r="AE19" s="179"/>
      <c r="AF19" s="180">
        <v>96</v>
      </c>
      <c r="AG19" s="104">
        <v>1126.1408762175133</v>
      </c>
      <c r="AH19" s="182"/>
      <c r="AI19" s="173">
        <f t="shared" si="5"/>
        <v>22206.27761488549</v>
      </c>
    </row>
    <row r="20" spans="1:35" x14ac:dyDescent="0.25">
      <c r="A20" s="174">
        <v>45703</v>
      </c>
      <c r="B20" s="175">
        <v>85</v>
      </c>
      <c r="C20" s="176">
        <v>95</v>
      </c>
      <c r="D20" s="176">
        <v>85</v>
      </c>
      <c r="E20" s="176">
        <v>48</v>
      </c>
      <c r="F20" s="176">
        <v>290</v>
      </c>
      <c r="G20" s="176"/>
      <c r="H20" s="165">
        <f t="shared" si="0"/>
        <v>224.20000000000002</v>
      </c>
      <c r="I20" s="176">
        <v>19880.140982473986</v>
      </c>
      <c r="J20" s="181">
        <f t="shared" si="1"/>
        <v>88.671458441007957</v>
      </c>
      <c r="K20" s="175">
        <v>34</v>
      </c>
      <c r="L20" s="177">
        <v>3010.6367816833267</v>
      </c>
      <c r="M20" s="178">
        <f t="shared" si="2"/>
        <v>88.548140637744908</v>
      </c>
      <c r="N20" s="164">
        <v>75</v>
      </c>
      <c r="O20" s="177">
        <v>1929.5800514346406</v>
      </c>
      <c r="P20" s="178">
        <f t="shared" si="3"/>
        <v>25.72773401912854</v>
      </c>
      <c r="Q20" s="175">
        <v>75</v>
      </c>
      <c r="R20" s="176">
        <v>8114.5712584641497</v>
      </c>
      <c r="S20" s="178">
        <f t="shared" si="4"/>
        <v>108.19428344618866</v>
      </c>
      <c r="T20" s="175"/>
      <c r="U20" s="176">
        <v>0</v>
      </c>
      <c r="V20" s="177"/>
      <c r="W20" s="176">
        <v>54</v>
      </c>
      <c r="X20" s="176">
        <v>334.98789915966387</v>
      </c>
      <c r="Y20" s="179"/>
      <c r="Z20" s="175"/>
      <c r="AA20" s="176"/>
      <c r="AB20" s="176"/>
      <c r="AC20" s="176"/>
      <c r="AD20" s="176"/>
      <c r="AE20" s="179"/>
      <c r="AF20" s="180">
        <v>96</v>
      </c>
      <c r="AG20" s="104">
        <v>1130.2861099501372</v>
      </c>
      <c r="AH20" s="182"/>
      <c r="AI20" s="173">
        <f t="shared" si="5"/>
        <v>21010.427092424125</v>
      </c>
    </row>
    <row r="21" spans="1:35" x14ac:dyDescent="0.25">
      <c r="A21" s="174">
        <v>45704</v>
      </c>
      <c r="B21" s="175">
        <v>200</v>
      </c>
      <c r="C21" s="176">
        <v>210</v>
      </c>
      <c r="D21" s="176">
        <v>205</v>
      </c>
      <c r="E21" s="176">
        <v>70</v>
      </c>
      <c r="F21" s="176">
        <v>305</v>
      </c>
      <c r="G21" s="176"/>
      <c r="H21" s="165">
        <f t="shared" si="0"/>
        <v>356</v>
      </c>
      <c r="I21" s="176">
        <v>28438.310905702678</v>
      </c>
      <c r="J21" s="181">
        <f t="shared" si="1"/>
        <v>79.882895802535614</v>
      </c>
      <c r="K21" s="175">
        <v>28</v>
      </c>
      <c r="L21" s="177">
        <v>3254.5149334431021</v>
      </c>
      <c r="M21" s="178">
        <f t="shared" si="2"/>
        <v>116.2326761943965</v>
      </c>
      <c r="N21" s="164">
        <v>75</v>
      </c>
      <c r="O21" s="177">
        <v>2376.9864336873652</v>
      </c>
      <c r="P21" s="178">
        <f t="shared" si="3"/>
        <v>31.69315244916487</v>
      </c>
      <c r="Q21" s="175">
        <v>75</v>
      </c>
      <c r="R21" s="176"/>
      <c r="S21" s="178">
        <f t="shared" si="4"/>
        <v>0</v>
      </c>
      <c r="T21" s="175"/>
      <c r="U21" s="176">
        <v>172</v>
      </c>
      <c r="V21" s="177">
        <v>2630.7202179689616</v>
      </c>
      <c r="W21" s="176">
        <v>254</v>
      </c>
      <c r="X21" s="176">
        <v>1724.4349276504659</v>
      </c>
      <c r="Y21" s="179"/>
      <c r="Z21" s="175"/>
      <c r="AA21" s="176"/>
      <c r="AB21" s="176"/>
      <c r="AC21" s="176"/>
      <c r="AD21" s="176"/>
      <c r="AE21" s="179"/>
      <c r="AF21" s="180">
        <v>96</v>
      </c>
      <c r="AG21" s="104">
        <v>1128.5131371270706</v>
      </c>
      <c r="AH21" s="182"/>
      <c r="AI21" s="173">
        <f t="shared" si="5"/>
        <v>29566.824042829747</v>
      </c>
    </row>
    <row r="22" spans="1:35" x14ac:dyDescent="0.25">
      <c r="A22" s="174">
        <v>45705</v>
      </c>
      <c r="B22" s="175">
        <v>200</v>
      </c>
      <c r="C22" s="176">
        <v>210</v>
      </c>
      <c r="D22" s="176">
        <v>205</v>
      </c>
      <c r="E22" s="176">
        <v>69</v>
      </c>
      <c r="F22" s="176">
        <v>305</v>
      </c>
      <c r="G22" s="176"/>
      <c r="H22" s="165">
        <f t="shared" si="0"/>
        <v>355.6</v>
      </c>
      <c r="I22" s="176">
        <v>27116.578848762994</v>
      </c>
      <c r="J22" s="181">
        <f t="shared" si="1"/>
        <v>76.255846031391997</v>
      </c>
      <c r="K22" s="175">
        <v>37</v>
      </c>
      <c r="L22" s="177"/>
      <c r="M22" s="178">
        <f t="shared" si="2"/>
        <v>0</v>
      </c>
      <c r="N22" s="164">
        <v>75</v>
      </c>
      <c r="O22" s="177">
        <v>2260.998908527336</v>
      </c>
      <c r="P22" s="178">
        <f t="shared" si="3"/>
        <v>30.146652113697812</v>
      </c>
      <c r="Q22" s="175">
        <v>75</v>
      </c>
      <c r="R22" s="176"/>
      <c r="S22" s="178">
        <f t="shared" si="4"/>
        <v>0</v>
      </c>
      <c r="T22" s="175"/>
      <c r="U22" s="176">
        <v>19</v>
      </c>
      <c r="V22" s="177">
        <v>385</v>
      </c>
      <c r="W22" s="176">
        <v>276</v>
      </c>
      <c r="X22" s="176">
        <v>2102.526712058409</v>
      </c>
      <c r="Y22" s="179"/>
      <c r="Z22" s="175"/>
      <c r="AA22" s="176"/>
      <c r="AB22" s="176"/>
      <c r="AC22" s="176"/>
      <c r="AD22" s="176"/>
      <c r="AE22" s="179"/>
      <c r="AF22" s="180">
        <v>96</v>
      </c>
      <c r="AG22" s="104">
        <v>1254.131848285356</v>
      </c>
      <c r="AH22" s="182"/>
      <c r="AI22" s="173">
        <f t="shared" si="5"/>
        <v>28370.710697048351</v>
      </c>
    </row>
    <row r="23" spans="1:35" x14ac:dyDescent="0.25">
      <c r="A23" s="174">
        <v>45706</v>
      </c>
      <c r="B23" s="175">
        <v>200</v>
      </c>
      <c r="C23" s="176">
        <v>210</v>
      </c>
      <c r="D23" s="176">
        <v>205</v>
      </c>
      <c r="E23" s="176">
        <v>63</v>
      </c>
      <c r="F23" s="176">
        <v>307</v>
      </c>
      <c r="G23" s="176"/>
      <c r="H23" s="165">
        <f t="shared" si="0"/>
        <v>354</v>
      </c>
      <c r="I23" s="176">
        <v>27289.590929628059</v>
      </c>
      <c r="J23" s="181">
        <f t="shared" si="1"/>
        <v>77.08923991420356</v>
      </c>
      <c r="K23" s="175">
        <v>34</v>
      </c>
      <c r="L23" s="177"/>
      <c r="M23" s="178">
        <f t="shared" si="2"/>
        <v>0</v>
      </c>
      <c r="N23" s="164">
        <v>75</v>
      </c>
      <c r="O23" s="177">
        <v>2216.4415963982738</v>
      </c>
      <c r="P23" s="178">
        <f t="shared" si="3"/>
        <v>29.552554618643651</v>
      </c>
      <c r="Q23" s="175">
        <v>75</v>
      </c>
      <c r="R23" s="176"/>
      <c r="S23" s="178">
        <f t="shared" si="4"/>
        <v>0</v>
      </c>
      <c r="T23" s="175"/>
      <c r="U23" s="176">
        <v>19</v>
      </c>
      <c r="V23" s="177">
        <v>262.5</v>
      </c>
      <c r="W23" s="176">
        <v>260</v>
      </c>
      <c r="X23" s="176">
        <v>1852.36975936523</v>
      </c>
      <c r="Y23" s="179"/>
      <c r="Z23" s="175"/>
      <c r="AA23" s="176"/>
      <c r="AB23" s="176"/>
      <c r="AC23" s="176"/>
      <c r="AD23" s="176"/>
      <c r="AE23" s="179"/>
      <c r="AF23" s="180">
        <v>96</v>
      </c>
      <c r="AG23" s="104">
        <v>1146.7582782445161</v>
      </c>
      <c r="AH23" s="182"/>
      <c r="AI23" s="173">
        <f t="shared" si="5"/>
        <v>28436.349207872576</v>
      </c>
    </row>
    <row r="24" spans="1:35" x14ac:dyDescent="0.25">
      <c r="A24" s="174">
        <v>45707</v>
      </c>
      <c r="B24" s="175">
        <v>200</v>
      </c>
      <c r="C24" s="176">
        <v>210</v>
      </c>
      <c r="D24" s="176">
        <v>205</v>
      </c>
      <c r="E24" s="176">
        <v>68</v>
      </c>
      <c r="F24" s="176">
        <v>307</v>
      </c>
      <c r="G24" s="176"/>
      <c r="H24" s="165">
        <f t="shared" si="0"/>
        <v>356</v>
      </c>
      <c r="I24" s="176">
        <v>19019.148192716755</v>
      </c>
      <c r="J24" s="181">
        <f t="shared" si="1"/>
        <v>53.424573575047063</v>
      </c>
      <c r="K24" s="175">
        <v>37</v>
      </c>
      <c r="L24" s="177">
        <v>3847.102818998595</v>
      </c>
      <c r="M24" s="178">
        <f t="shared" si="2"/>
        <v>103.97575186482689</v>
      </c>
      <c r="N24" s="164">
        <v>75</v>
      </c>
      <c r="O24" s="177">
        <v>2664.0587019394261</v>
      </c>
      <c r="P24" s="178">
        <f t="shared" si="3"/>
        <v>35.520782692525678</v>
      </c>
      <c r="Q24" s="175">
        <v>75</v>
      </c>
      <c r="R24" s="176"/>
      <c r="S24" s="178">
        <f t="shared" si="4"/>
        <v>0</v>
      </c>
      <c r="T24" s="175"/>
      <c r="U24" s="176">
        <v>19</v>
      </c>
      <c r="V24" s="177">
        <v>249.75</v>
      </c>
      <c r="W24" s="176">
        <v>248</v>
      </c>
      <c r="X24" s="176">
        <v>1369.2303423674164</v>
      </c>
      <c r="Y24" s="179"/>
      <c r="Z24" s="175"/>
      <c r="AA24" s="176"/>
      <c r="AB24" s="176"/>
      <c r="AC24" s="176"/>
      <c r="AD24" s="176"/>
      <c r="AE24" s="179"/>
      <c r="AF24" s="180">
        <v>96</v>
      </c>
      <c r="AG24" s="104">
        <v>1150.4199810301761</v>
      </c>
      <c r="AH24" s="182"/>
      <c r="AI24" s="173">
        <f t="shared" si="5"/>
        <v>20169.568173746931</v>
      </c>
    </row>
    <row r="25" spans="1:35" x14ac:dyDescent="0.25">
      <c r="A25" s="174">
        <v>45708</v>
      </c>
      <c r="B25" s="175">
        <v>200</v>
      </c>
      <c r="C25" s="176">
        <v>210</v>
      </c>
      <c r="D25" s="176">
        <v>205</v>
      </c>
      <c r="E25" s="176">
        <v>62</v>
      </c>
      <c r="F25" s="176">
        <v>300</v>
      </c>
      <c r="G25" s="176"/>
      <c r="H25" s="165">
        <f t="shared" si="0"/>
        <v>350.8</v>
      </c>
      <c r="I25" s="176">
        <v>14995.036716305733</v>
      </c>
      <c r="J25" s="181">
        <f t="shared" si="1"/>
        <v>42.745258598362973</v>
      </c>
      <c r="K25" s="175">
        <v>36</v>
      </c>
      <c r="L25" s="177">
        <v>171.69037659764786</v>
      </c>
      <c r="M25" s="178">
        <f t="shared" si="2"/>
        <v>4.7691771277124406</v>
      </c>
      <c r="N25" s="164">
        <v>75</v>
      </c>
      <c r="O25" s="177">
        <v>3533.8162421824291</v>
      </c>
      <c r="P25" s="178">
        <f t="shared" si="3"/>
        <v>47.11754989576572</v>
      </c>
      <c r="Q25" s="175">
        <v>75</v>
      </c>
      <c r="R25" s="176">
        <v>4690.3970468086027</v>
      </c>
      <c r="S25" s="178">
        <f t="shared" si="4"/>
        <v>62.538627290781371</v>
      </c>
      <c r="T25" s="175"/>
      <c r="U25" s="176">
        <v>19</v>
      </c>
      <c r="V25" s="177">
        <v>249.75</v>
      </c>
      <c r="W25" s="176">
        <v>218</v>
      </c>
      <c r="X25" s="176">
        <v>1293.2114890822422</v>
      </c>
      <c r="Y25" s="179"/>
      <c r="Z25" s="175"/>
      <c r="AA25" s="176"/>
      <c r="AB25" s="176"/>
      <c r="AC25" s="176"/>
      <c r="AD25" s="176"/>
      <c r="AE25" s="179"/>
      <c r="AF25" s="180">
        <v>96</v>
      </c>
      <c r="AG25" s="104">
        <v>1159.1600435272405</v>
      </c>
      <c r="AH25" s="182"/>
      <c r="AI25" s="173">
        <f t="shared" si="5"/>
        <v>16154.196759832974</v>
      </c>
    </row>
    <row r="26" spans="1:35" x14ac:dyDescent="0.25">
      <c r="A26" s="174">
        <v>45709</v>
      </c>
      <c r="B26" s="175">
        <v>85</v>
      </c>
      <c r="C26" s="176">
        <v>95</v>
      </c>
      <c r="D26" s="176">
        <v>85</v>
      </c>
      <c r="E26" s="176">
        <v>53</v>
      </c>
      <c r="F26" s="176">
        <v>285</v>
      </c>
      <c r="G26" s="176"/>
      <c r="H26" s="165">
        <f t="shared" si="0"/>
        <v>224.20000000000002</v>
      </c>
      <c r="I26" s="176">
        <v>13680.011888731507</v>
      </c>
      <c r="J26" s="181">
        <f t="shared" si="1"/>
        <v>61.017002179890753</v>
      </c>
      <c r="K26" s="175">
        <v>47</v>
      </c>
      <c r="L26" s="177">
        <v>3427.7398827042771</v>
      </c>
      <c r="M26" s="178">
        <f t="shared" si="2"/>
        <v>72.93063580221866</v>
      </c>
      <c r="N26" s="164">
        <v>75</v>
      </c>
      <c r="O26" s="177">
        <v>2334.2141636314504</v>
      </c>
      <c r="P26" s="178">
        <f t="shared" si="3"/>
        <v>31.122855515086005</v>
      </c>
      <c r="Q26" s="175">
        <v>75</v>
      </c>
      <c r="R26" s="176">
        <v>8272.8547066740866</v>
      </c>
      <c r="S26" s="178">
        <f t="shared" si="4"/>
        <v>110.30472942232116</v>
      </c>
      <c r="T26" s="175"/>
      <c r="U26" s="176">
        <v>15</v>
      </c>
      <c r="V26" s="177">
        <v>185</v>
      </c>
      <c r="W26" s="176">
        <v>62</v>
      </c>
      <c r="X26" s="176">
        <v>340.25798677233917</v>
      </c>
      <c r="Y26" s="179"/>
      <c r="Z26" s="175"/>
      <c r="AA26" s="176"/>
      <c r="AB26" s="176"/>
      <c r="AC26" s="176"/>
      <c r="AD26" s="176"/>
      <c r="AE26" s="179"/>
      <c r="AF26" s="180">
        <v>96</v>
      </c>
      <c r="AG26" s="104">
        <v>1156.4311800865573</v>
      </c>
      <c r="AH26" s="182"/>
      <c r="AI26" s="173">
        <f t="shared" si="5"/>
        <v>14836.443068818066</v>
      </c>
    </row>
    <row r="27" spans="1:35" x14ac:dyDescent="0.25">
      <c r="A27" s="174">
        <v>45710</v>
      </c>
      <c r="B27" s="175">
        <v>85</v>
      </c>
      <c r="C27" s="176">
        <v>95</v>
      </c>
      <c r="D27" s="176">
        <v>85</v>
      </c>
      <c r="E27" s="176">
        <v>46</v>
      </c>
      <c r="F27" s="176">
        <v>285</v>
      </c>
      <c r="G27" s="176"/>
      <c r="H27" s="165">
        <f t="shared" si="0"/>
        <v>221.4</v>
      </c>
      <c r="I27" s="176">
        <v>20667.989730122543</v>
      </c>
      <c r="J27" s="181">
        <f t="shared" si="1"/>
        <v>93.351353794591432</v>
      </c>
      <c r="K27" s="175">
        <v>36</v>
      </c>
      <c r="L27" s="177">
        <v>1485.6474096270954</v>
      </c>
      <c r="M27" s="178">
        <f t="shared" si="2"/>
        <v>41.26798360075265</v>
      </c>
      <c r="N27" s="164">
        <v>75</v>
      </c>
      <c r="O27" s="177">
        <v>2482.0179776017826</v>
      </c>
      <c r="P27" s="178">
        <f t="shared" si="3"/>
        <v>33.093573034690436</v>
      </c>
      <c r="Q27" s="175">
        <v>75</v>
      </c>
      <c r="R27" s="176">
        <v>9055.8727627858862</v>
      </c>
      <c r="S27" s="178">
        <f t="shared" si="4"/>
        <v>120.74497017047848</v>
      </c>
      <c r="T27" s="175"/>
      <c r="U27" s="176">
        <v>0</v>
      </c>
      <c r="V27" s="177"/>
      <c r="W27" s="176">
        <v>53</v>
      </c>
      <c r="X27" s="176">
        <v>277.6408878684033</v>
      </c>
      <c r="Y27" s="179"/>
      <c r="Z27" s="175"/>
      <c r="AA27" s="176"/>
      <c r="AB27" s="176"/>
      <c r="AC27" s="176"/>
      <c r="AD27" s="176"/>
      <c r="AE27" s="179"/>
      <c r="AF27" s="180">
        <v>96</v>
      </c>
      <c r="AG27" s="104">
        <v>1148.5414556489186</v>
      </c>
      <c r="AH27" s="182"/>
      <c r="AI27" s="173">
        <f t="shared" si="5"/>
        <v>21816.531185771462</v>
      </c>
    </row>
    <row r="28" spans="1:35" x14ac:dyDescent="0.25">
      <c r="A28" s="174">
        <v>45711</v>
      </c>
      <c r="B28" s="175">
        <v>200</v>
      </c>
      <c r="C28" s="176">
        <v>210</v>
      </c>
      <c r="D28" s="176">
        <v>205</v>
      </c>
      <c r="E28" s="176">
        <v>66</v>
      </c>
      <c r="F28" s="176">
        <v>300</v>
      </c>
      <c r="G28" s="176"/>
      <c r="H28" s="165">
        <f t="shared" si="0"/>
        <v>352.40000000000003</v>
      </c>
      <c r="I28" s="176">
        <v>22980.273396442342</v>
      </c>
      <c r="J28" s="181">
        <f t="shared" si="1"/>
        <v>65.21076446209517</v>
      </c>
      <c r="K28" s="175">
        <v>43</v>
      </c>
      <c r="L28" s="177">
        <v>5342.2277077551025</v>
      </c>
      <c r="M28" s="178">
        <f t="shared" si="2"/>
        <v>124.23785366872332</v>
      </c>
      <c r="N28" s="164">
        <v>75</v>
      </c>
      <c r="O28" s="177">
        <v>3125.0860866882035</v>
      </c>
      <c r="P28" s="178">
        <f t="shared" si="3"/>
        <v>41.667814489176045</v>
      </c>
      <c r="Q28" s="175">
        <v>75</v>
      </c>
      <c r="R28" s="176">
        <v>2991.0777375455714</v>
      </c>
      <c r="S28" s="178">
        <f t="shared" si="4"/>
        <v>39.881036500607621</v>
      </c>
      <c r="T28" s="175"/>
      <c r="U28" s="176">
        <v>0</v>
      </c>
      <c r="V28" s="177"/>
      <c r="W28" s="176">
        <v>71</v>
      </c>
      <c r="X28" s="176">
        <v>411.59999999999985</v>
      </c>
      <c r="Y28" s="179"/>
      <c r="Z28" s="175"/>
      <c r="AA28" s="176"/>
      <c r="AB28" s="176"/>
      <c r="AC28" s="176"/>
      <c r="AD28" s="176"/>
      <c r="AE28" s="179"/>
      <c r="AF28" s="180">
        <v>96</v>
      </c>
      <c r="AG28" s="104">
        <v>1133.8624237699069</v>
      </c>
      <c r="AH28" s="182"/>
      <c r="AI28" s="173">
        <f t="shared" si="5"/>
        <v>24114.13582021225</v>
      </c>
    </row>
    <row r="29" spans="1:35" x14ac:dyDescent="0.25">
      <c r="A29" s="174">
        <v>45712</v>
      </c>
      <c r="B29" s="175">
        <v>200</v>
      </c>
      <c r="C29" s="176">
        <v>210</v>
      </c>
      <c r="D29" s="176">
        <v>205</v>
      </c>
      <c r="E29" s="176">
        <v>64</v>
      </c>
      <c r="F29" s="176">
        <v>300</v>
      </c>
      <c r="G29" s="176"/>
      <c r="H29" s="165">
        <f t="shared" si="0"/>
        <v>351.6</v>
      </c>
      <c r="I29" s="176">
        <v>29038.802832810343</v>
      </c>
      <c r="J29" s="181">
        <f t="shared" si="1"/>
        <v>82.590451742919058</v>
      </c>
      <c r="K29" s="175">
        <v>50</v>
      </c>
      <c r="L29" s="177">
        <v>9436.4512548546409</v>
      </c>
      <c r="M29" s="178">
        <f t="shared" si="2"/>
        <v>188.72902509709283</v>
      </c>
      <c r="N29" s="164">
        <v>75</v>
      </c>
      <c r="O29" s="177">
        <v>2201.8775674688086</v>
      </c>
      <c r="P29" s="178">
        <f t="shared" si="3"/>
        <v>29.358367566250781</v>
      </c>
      <c r="Q29" s="175">
        <v>75</v>
      </c>
      <c r="R29" s="176">
        <v>9630.0256924046535</v>
      </c>
      <c r="S29" s="178">
        <f t="shared" si="4"/>
        <v>128.40034256539539</v>
      </c>
      <c r="T29" s="175"/>
      <c r="U29" s="176">
        <v>159</v>
      </c>
      <c r="V29" s="177">
        <v>2387.336956521739</v>
      </c>
      <c r="W29" s="176">
        <v>283</v>
      </c>
      <c r="X29" s="176">
        <v>1807.7156934321097</v>
      </c>
      <c r="Y29" s="179"/>
      <c r="Z29" s="175"/>
      <c r="AA29" s="176"/>
      <c r="AB29" s="176"/>
      <c r="AC29" s="176"/>
      <c r="AD29" s="176"/>
      <c r="AE29" s="179"/>
      <c r="AF29" s="180">
        <v>96</v>
      </c>
      <c r="AG29" s="104">
        <v>1165.1273559875376</v>
      </c>
      <c r="AH29" s="182"/>
      <c r="AI29" s="173">
        <f t="shared" si="5"/>
        <v>30203.93018879788</v>
      </c>
    </row>
    <row r="30" spans="1:35" x14ac:dyDescent="0.25">
      <c r="A30" s="174">
        <v>45713</v>
      </c>
      <c r="B30" s="175">
        <v>200</v>
      </c>
      <c r="C30" s="176">
        <v>210</v>
      </c>
      <c r="D30" s="176">
        <v>205</v>
      </c>
      <c r="E30" s="176">
        <v>64</v>
      </c>
      <c r="F30" s="176">
        <v>312</v>
      </c>
      <c r="G30" s="176"/>
      <c r="H30" s="165">
        <f t="shared" si="0"/>
        <v>356.40000000000003</v>
      </c>
      <c r="I30" s="176">
        <v>4539.6179750273986</v>
      </c>
      <c r="J30" s="181">
        <f t="shared" si="1"/>
        <v>12.737424172355214</v>
      </c>
      <c r="K30" s="175">
        <v>29</v>
      </c>
      <c r="L30" s="177">
        <v>1617.4289693231542</v>
      </c>
      <c r="M30" s="178">
        <f t="shared" si="2"/>
        <v>55.773412735281177</v>
      </c>
      <c r="N30" s="164">
        <v>75</v>
      </c>
      <c r="O30" s="177">
        <v>1805.95484870064</v>
      </c>
      <c r="P30" s="178">
        <f t="shared" si="3"/>
        <v>24.0793979826752</v>
      </c>
      <c r="Q30" s="175">
        <v>75</v>
      </c>
      <c r="R30" s="176">
        <v>11262.47156403318</v>
      </c>
      <c r="S30" s="178">
        <f t="shared" si="4"/>
        <v>150.16628752044241</v>
      </c>
      <c r="T30" s="175"/>
      <c r="U30" s="176">
        <v>26</v>
      </c>
      <c r="V30" s="177">
        <v>241.52173913043475</v>
      </c>
      <c r="W30" s="176">
        <v>220</v>
      </c>
      <c r="X30" s="176">
        <v>1305.4893783236441</v>
      </c>
      <c r="Y30" s="179"/>
      <c r="Z30" s="175"/>
      <c r="AA30" s="176"/>
      <c r="AB30" s="176"/>
      <c r="AC30" s="176"/>
      <c r="AD30" s="176"/>
      <c r="AE30" s="179"/>
      <c r="AF30" s="180">
        <v>96</v>
      </c>
      <c r="AG30" s="104">
        <v>1055.6304062423087</v>
      </c>
      <c r="AH30" s="182"/>
      <c r="AI30" s="173">
        <f t="shared" si="5"/>
        <v>5595.2483812697074</v>
      </c>
    </row>
    <row r="31" spans="1:35" x14ac:dyDescent="0.25">
      <c r="A31" s="174">
        <v>45714</v>
      </c>
      <c r="B31" s="175">
        <v>200</v>
      </c>
      <c r="C31" s="176">
        <v>210</v>
      </c>
      <c r="D31" s="176">
        <v>205</v>
      </c>
      <c r="E31" s="176">
        <v>49</v>
      </c>
      <c r="F31" s="176">
        <v>305</v>
      </c>
      <c r="G31" s="176"/>
      <c r="H31" s="165">
        <f t="shared" si="0"/>
        <v>347.6</v>
      </c>
      <c r="I31" s="176">
        <v>2468.6208524182866</v>
      </c>
      <c r="J31" s="181">
        <f t="shared" si="1"/>
        <v>7.101901186473782</v>
      </c>
      <c r="K31" s="175">
        <v>34</v>
      </c>
      <c r="L31" s="177">
        <v>7226.3447105522946</v>
      </c>
      <c r="M31" s="178">
        <f t="shared" si="2"/>
        <v>212.53955031036162</v>
      </c>
      <c r="N31" s="175">
        <v>75</v>
      </c>
      <c r="O31" s="177">
        <v>2210.5551037402906</v>
      </c>
      <c r="P31" s="178">
        <f t="shared" si="3"/>
        <v>29.474068049870542</v>
      </c>
      <c r="Q31" s="175">
        <v>75</v>
      </c>
      <c r="R31" s="176">
        <v>14949.56874532927</v>
      </c>
      <c r="S31" s="178">
        <f t="shared" si="4"/>
        <v>199.32758327105694</v>
      </c>
      <c r="T31" s="175"/>
      <c r="U31" s="176">
        <v>16</v>
      </c>
      <c r="V31" s="176">
        <v>167</v>
      </c>
      <c r="W31" s="176">
        <v>243</v>
      </c>
      <c r="X31" s="176">
        <v>1588.8600923706326</v>
      </c>
      <c r="Y31" s="179"/>
      <c r="Z31" s="175"/>
      <c r="AA31" s="176"/>
      <c r="AB31" s="176"/>
      <c r="AC31" s="176"/>
      <c r="AD31" s="176"/>
      <c r="AE31" s="179"/>
      <c r="AF31" s="180">
        <v>96</v>
      </c>
      <c r="AG31" s="104">
        <v>1173.3618671120089</v>
      </c>
      <c r="AH31" s="182"/>
      <c r="AI31" s="173">
        <f t="shared" si="5"/>
        <v>3641.9827195302955</v>
      </c>
    </row>
    <row r="32" spans="1:35" x14ac:dyDescent="0.25">
      <c r="A32" s="174">
        <v>45715</v>
      </c>
      <c r="B32" s="175">
        <v>200</v>
      </c>
      <c r="C32" s="176">
        <v>210</v>
      </c>
      <c r="D32" s="176">
        <v>205</v>
      </c>
      <c r="E32" s="176">
        <v>67</v>
      </c>
      <c r="F32" s="176">
        <v>305</v>
      </c>
      <c r="G32" s="176"/>
      <c r="H32" s="165">
        <f t="shared" si="0"/>
        <v>354.8</v>
      </c>
      <c r="I32" s="176">
        <v>2829.3299874458094</v>
      </c>
      <c r="J32" s="181">
        <f t="shared" si="1"/>
        <v>7.9744362667581994</v>
      </c>
      <c r="K32" s="175">
        <v>50</v>
      </c>
      <c r="L32" s="177">
        <v>803.1137527678344</v>
      </c>
      <c r="M32" s="178">
        <f t="shared" si="2"/>
        <v>16.06227505535669</v>
      </c>
      <c r="N32" s="175">
        <v>75</v>
      </c>
      <c r="O32" s="177">
        <v>2394.5233310615954</v>
      </c>
      <c r="P32" s="178">
        <f t="shared" si="3"/>
        <v>31.926977747487939</v>
      </c>
      <c r="Q32" s="175">
        <v>75</v>
      </c>
      <c r="R32" s="176">
        <v>15350.877104656382</v>
      </c>
      <c r="S32" s="178">
        <f t="shared" si="4"/>
        <v>204.67836139541842</v>
      </c>
      <c r="T32" s="175"/>
      <c r="U32" s="176">
        <v>16</v>
      </c>
      <c r="V32" s="176"/>
      <c r="W32" s="176">
        <v>210</v>
      </c>
      <c r="X32" s="176">
        <v>1384.8</v>
      </c>
      <c r="Y32" s="179"/>
      <c r="Z32" s="175"/>
      <c r="AA32" s="176"/>
      <c r="AB32" s="176"/>
      <c r="AC32" s="176"/>
      <c r="AD32" s="176"/>
      <c r="AE32" s="179"/>
      <c r="AF32" s="180">
        <v>96</v>
      </c>
      <c r="AG32" s="104">
        <v>1271.044301452702</v>
      </c>
      <c r="AH32" s="182"/>
      <c r="AI32" s="173">
        <f t="shared" si="5"/>
        <v>4100.3742888985116</v>
      </c>
    </row>
    <row r="33" spans="1:35" ht="15.75" thickBot="1" x14ac:dyDescent="0.3">
      <c r="A33" s="183">
        <v>45716</v>
      </c>
      <c r="B33" s="184">
        <v>85</v>
      </c>
      <c r="C33" s="185">
        <v>95</v>
      </c>
      <c r="D33" s="185">
        <v>85</v>
      </c>
      <c r="E33" s="185">
        <v>48</v>
      </c>
      <c r="F33" s="185">
        <v>285</v>
      </c>
      <c r="G33" s="185"/>
      <c r="H33" s="165">
        <f t="shared" si="0"/>
        <v>222.20000000000002</v>
      </c>
      <c r="I33" s="185">
        <v>8065.6591566788738</v>
      </c>
      <c r="J33" s="186">
        <f t="shared" si="1"/>
        <v>36.299096114666398</v>
      </c>
      <c r="K33" s="184">
        <v>44</v>
      </c>
      <c r="L33" s="187">
        <v>3923.6874807083086</v>
      </c>
      <c r="M33" s="178">
        <f t="shared" si="2"/>
        <v>89.174715470643378</v>
      </c>
      <c r="N33" s="184">
        <v>75</v>
      </c>
      <c r="O33" s="187">
        <v>1790.9206365406803</v>
      </c>
      <c r="P33" s="178">
        <f t="shared" si="3"/>
        <v>23.878941820542405</v>
      </c>
      <c r="Q33" s="184">
        <v>75</v>
      </c>
      <c r="R33" s="185">
        <v>22682.885053226699</v>
      </c>
      <c r="S33" s="178">
        <f t="shared" si="4"/>
        <v>302.43846737635596</v>
      </c>
      <c r="T33" s="184"/>
      <c r="U33" s="185">
        <v>0</v>
      </c>
      <c r="V33" s="185">
        <v>250.5</v>
      </c>
      <c r="W33" s="185">
        <v>66</v>
      </c>
      <c r="X33" s="185">
        <v>424.14</v>
      </c>
      <c r="Y33" s="188"/>
      <c r="Z33" s="184"/>
      <c r="AA33" s="185"/>
      <c r="AB33" s="185"/>
      <c r="AC33" s="185"/>
      <c r="AD33" s="185"/>
      <c r="AE33" s="188"/>
      <c r="AF33" s="189">
        <v>96</v>
      </c>
      <c r="AG33" s="190">
        <v>1094.4120256690792</v>
      </c>
      <c r="AH33" s="191"/>
      <c r="AI33" s="192">
        <f t="shared" si="5"/>
        <v>9160.0711823479523</v>
      </c>
    </row>
    <row r="34" spans="1:35" ht="26.25" thickBot="1" x14ac:dyDescent="0.3">
      <c r="A34" s="193" t="s">
        <v>77</v>
      </c>
      <c r="B34" s="194">
        <f>SUM(B6:B33)</f>
        <v>4680</v>
      </c>
      <c r="C34" s="194">
        <f t="shared" ref="C34:AI34" si="6">SUM(C6:C33)</f>
        <v>4960</v>
      </c>
      <c r="D34" s="194">
        <f t="shared" si="6"/>
        <v>4780</v>
      </c>
      <c r="E34" s="194">
        <f t="shared" si="6"/>
        <v>1740</v>
      </c>
      <c r="F34" s="194">
        <f t="shared" si="6"/>
        <v>8383</v>
      </c>
      <c r="G34" s="194">
        <f t="shared" si="6"/>
        <v>80</v>
      </c>
      <c r="H34" s="194">
        <f t="shared" si="6"/>
        <v>8881.1999999999989</v>
      </c>
      <c r="I34" s="194">
        <f t="shared" si="6"/>
        <v>634325.94447235775</v>
      </c>
      <c r="J34" s="194">
        <f>I34/H34</f>
        <v>71.423450037422626</v>
      </c>
      <c r="K34" s="194">
        <f t="shared" ref="K34:R34" si="7">SUM(K6:K33)</f>
        <v>1073</v>
      </c>
      <c r="L34" s="194">
        <f t="shared" si="7"/>
        <v>61481.765786906253</v>
      </c>
      <c r="M34" s="194">
        <f>L34/K34</f>
        <v>57.298942951450378</v>
      </c>
      <c r="N34" s="194">
        <f t="shared" si="7"/>
        <v>2100</v>
      </c>
      <c r="O34" s="194">
        <f t="shared" si="7"/>
        <v>64926.128958644091</v>
      </c>
      <c r="P34" s="195">
        <f>O34/N34</f>
        <v>30.917204266020995</v>
      </c>
      <c r="Q34" s="194">
        <f t="shared" si="7"/>
        <v>2100</v>
      </c>
      <c r="R34" s="194">
        <f t="shared" si="7"/>
        <v>123044.92688228133</v>
      </c>
      <c r="S34" s="194">
        <f>R34/Q34</f>
        <v>58.59282232489587</v>
      </c>
      <c r="T34" s="194">
        <f t="shared" si="6"/>
        <v>0</v>
      </c>
      <c r="U34" s="194">
        <f t="shared" si="6"/>
        <v>987</v>
      </c>
      <c r="V34" s="194">
        <f t="shared" si="6"/>
        <v>14416.344920603873</v>
      </c>
      <c r="W34" s="194">
        <f t="shared" si="6"/>
        <v>4601</v>
      </c>
      <c r="X34" s="194">
        <f t="shared" si="6"/>
        <v>25315.971810798488</v>
      </c>
      <c r="Y34" s="194">
        <f t="shared" si="6"/>
        <v>0</v>
      </c>
      <c r="Z34" s="194">
        <f t="shared" si="6"/>
        <v>0</v>
      </c>
      <c r="AA34" s="194">
        <f t="shared" si="6"/>
        <v>0</v>
      </c>
      <c r="AB34" s="194">
        <f t="shared" si="6"/>
        <v>0</v>
      </c>
      <c r="AC34" s="194">
        <f t="shared" si="6"/>
        <v>0</v>
      </c>
      <c r="AD34" s="194">
        <f t="shared" si="6"/>
        <v>0</v>
      </c>
      <c r="AE34" s="194" t="e">
        <f t="shared" si="6"/>
        <v>#DIV/0!</v>
      </c>
      <c r="AF34" s="194">
        <f t="shared" si="6"/>
        <v>2658</v>
      </c>
      <c r="AG34" s="194">
        <f t="shared" si="6"/>
        <v>31620.45217400512</v>
      </c>
      <c r="AH34" s="195">
        <f>AG34/AF34</f>
        <v>11.896332646352565</v>
      </c>
      <c r="AI34" s="196">
        <f t="shared" si="6"/>
        <v>679426.36813262419</v>
      </c>
    </row>
  </sheetData>
  <sheetProtection algorithmName="SHA-512" hashValue="iW5nVwxESzAkvz4jAl9GBe0k2wzhhqHt/98Frrz9roVVhPtDJ4Qi9R82pJO4hJiHv2BuT5ehzxT9RQeugKezhA==" saltValue="bDblNsxVQn6VZGDh9ZGxIg==" spinCount="100000" sheet="1" scenarios="1" sort="0" autoFilter="0"/>
  <mergeCells count="10">
    <mergeCell ref="A1:AI1"/>
    <mergeCell ref="A2:AI2"/>
    <mergeCell ref="A3:AI3"/>
    <mergeCell ref="B4:J4"/>
    <mergeCell ref="K4:M4"/>
    <mergeCell ref="N4:P4"/>
    <mergeCell ref="Q4:S4"/>
    <mergeCell ref="T4:Y4"/>
    <mergeCell ref="Z4:AE4"/>
    <mergeCell ref="AF4:A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CD7C-74B8-4055-9066-1BD35E3FF293}">
  <dimension ref="A1:AJ37"/>
  <sheetViews>
    <sheetView zoomScale="80" zoomScaleNormal="80" workbookViewId="0">
      <selection activeCell="E5" sqref="E1:E1048576"/>
    </sheetView>
  </sheetViews>
  <sheetFormatPr defaultRowHeight="15" x14ac:dyDescent="0.25"/>
  <cols>
    <col min="1" max="1" width="9.140625" bestFit="1" customWidth="1"/>
    <col min="2" max="4" width="10.140625" bestFit="1" customWidth="1"/>
    <col min="5" max="5" width="8.5703125" bestFit="1" customWidth="1"/>
    <col min="6" max="6" width="10.28515625" bestFit="1" customWidth="1"/>
    <col min="7" max="7" width="7.140625" bestFit="1" customWidth="1"/>
    <col min="8" max="8" width="10.140625" bestFit="1" customWidth="1"/>
    <col min="9" max="10" width="13" bestFit="1" customWidth="1"/>
    <col min="11" max="11" width="10.140625" bestFit="1" customWidth="1"/>
    <col min="12" max="12" width="11.28515625" bestFit="1" customWidth="1"/>
    <col min="13" max="13" width="13" bestFit="1" customWidth="1"/>
    <col min="14" max="14" width="9.5703125" bestFit="1" customWidth="1"/>
    <col min="15" max="15" width="11.28515625" bestFit="1" customWidth="1"/>
    <col min="16" max="16" width="13" bestFit="1" customWidth="1"/>
    <col min="17" max="17" width="10.140625" bestFit="1" customWidth="1"/>
    <col min="18" max="19" width="13" bestFit="1" customWidth="1"/>
    <col min="20" max="20" width="6.42578125" bestFit="1" customWidth="1"/>
    <col min="21" max="21" width="9.7109375" bestFit="1" customWidth="1"/>
    <col min="22" max="22" width="11.5703125" bestFit="1" customWidth="1"/>
    <col min="23" max="23" width="8.42578125" bestFit="1" customWidth="1"/>
    <col min="24" max="24" width="8.5703125" bestFit="1" customWidth="1"/>
    <col min="25" max="25" width="10.140625" bestFit="1" customWidth="1"/>
    <col min="26" max="26" width="8.42578125" style="39" bestFit="1" customWidth="1"/>
    <col min="27" max="27" width="9.5703125" bestFit="1" customWidth="1"/>
    <col min="28" max="28" width="7" bestFit="1" customWidth="1"/>
    <col min="29" max="29" width="7.42578125" bestFit="1" customWidth="1"/>
    <col min="30" max="30" width="9.5703125" bestFit="1" customWidth="1"/>
    <col min="31" max="31" width="10.5703125" bestFit="1" customWidth="1"/>
    <col min="32" max="32" width="13" bestFit="1" customWidth="1"/>
    <col min="33" max="33" width="14.85546875" style="2" bestFit="1" customWidth="1"/>
    <col min="34" max="34" width="11.28515625" customWidth="1"/>
    <col min="35" max="35" width="10" bestFit="1" customWidth="1"/>
    <col min="36" max="36" width="12.85546875" style="2" bestFit="1" customWidth="1"/>
  </cols>
  <sheetData>
    <row r="1" spans="1:36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36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36" ht="21.75" thickBot="1" x14ac:dyDescent="0.4">
      <c r="A3" s="308" t="s">
        <v>78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36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63</v>
      </c>
      <c r="O4" s="315"/>
      <c r="P4" s="318"/>
      <c r="Q4" s="314" t="s">
        <v>64</v>
      </c>
      <c r="R4" s="315"/>
      <c r="S4" s="318"/>
      <c r="T4" s="314" t="s">
        <v>65</v>
      </c>
      <c r="U4" s="315"/>
      <c r="V4" s="315"/>
      <c r="W4" s="315"/>
      <c r="X4" s="315"/>
      <c r="Y4" s="315"/>
      <c r="Z4" s="318"/>
      <c r="AA4" s="378" t="s">
        <v>66</v>
      </c>
      <c r="AB4" s="379"/>
      <c r="AC4" s="379"/>
      <c r="AD4" s="379"/>
      <c r="AE4" s="379"/>
      <c r="AF4" s="380"/>
      <c r="AG4" s="320" t="s">
        <v>67</v>
      </c>
      <c r="AH4" s="321"/>
      <c r="AI4" s="322"/>
      <c r="AJ4" s="144" t="s">
        <v>68</v>
      </c>
    </row>
    <row r="5" spans="1:36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48" t="s">
        <v>69</v>
      </c>
      <c r="O5" s="149" t="s">
        <v>0</v>
      </c>
      <c r="P5" s="150" t="s">
        <v>70</v>
      </c>
      <c r="Q5" s="148" t="s">
        <v>69</v>
      </c>
      <c r="R5" s="149" t="s">
        <v>0</v>
      </c>
      <c r="S5" s="150" t="s">
        <v>70</v>
      </c>
      <c r="T5" s="151" t="s">
        <v>71</v>
      </c>
      <c r="U5" s="152" t="s">
        <v>72</v>
      </c>
      <c r="V5" s="152" t="s">
        <v>73</v>
      </c>
      <c r="W5" s="152" t="s">
        <v>79</v>
      </c>
      <c r="X5" s="153" t="s">
        <v>21</v>
      </c>
      <c r="Y5" s="153" t="s">
        <v>74</v>
      </c>
      <c r="Z5" s="154" t="s">
        <v>16</v>
      </c>
      <c r="AA5" s="155" t="s">
        <v>2</v>
      </c>
      <c r="AB5" s="156" t="s">
        <v>3</v>
      </c>
      <c r="AC5" s="156" t="s">
        <v>4</v>
      </c>
      <c r="AD5" s="157" t="s">
        <v>69</v>
      </c>
      <c r="AE5" s="158" t="s">
        <v>0</v>
      </c>
      <c r="AF5" s="159" t="s">
        <v>70</v>
      </c>
      <c r="AG5" s="160" t="s">
        <v>75</v>
      </c>
      <c r="AH5" s="161" t="s">
        <v>30</v>
      </c>
      <c r="AI5" s="162" t="s">
        <v>76</v>
      </c>
      <c r="AJ5" s="144" t="s">
        <v>68</v>
      </c>
    </row>
    <row r="6" spans="1:36" x14ac:dyDescent="0.25">
      <c r="A6" s="163">
        <v>45717</v>
      </c>
      <c r="B6" s="164">
        <v>85</v>
      </c>
      <c r="C6" s="165">
        <v>95</v>
      </c>
      <c r="D6" s="165">
        <v>93</v>
      </c>
      <c r="E6" s="165">
        <v>10</v>
      </c>
      <c r="F6" s="165">
        <v>280</v>
      </c>
      <c r="G6" s="165"/>
      <c r="H6" s="165">
        <f>B6*0.2+SUM(C6:F6)*0.4</f>
        <v>208.20000000000002</v>
      </c>
      <c r="I6" s="165">
        <v>11247.806275404184</v>
      </c>
      <c r="J6" s="166">
        <f>I6/H6</f>
        <v>54.024045511067165</v>
      </c>
      <c r="K6" s="164">
        <v>47</v>
      </c>
      <c r="L6" s="167">
        <v>3034.4339033624915</v>
      </c>
      <c r="M6" s="168">
        <f>L6/K6</f>
        <v>64.562423475797686</v>
      </c>
      <c r="N6" s="164">
        <v>25</v>
      </c>
      <c r="O6" s="167">
        <v>1725.8657009375729</v>
      </c>
      <c r="P6" s="168">
        <f>O6/N6</f>
        <v>69.034628037502912</v>
      </c>
      <c r="Q6" s="164">
        <v>75</v>
      </c>
      <c r="R6" s="167">
        <v>5144.874386484671</v>
      </c>
      <c r="S6" s="168">
        <f>R6/Q6</f>
        <v>68.598325153128954</v>
      </c>
      <c r="T6" s="164"/>
      <c r="U6" s="165">
        <v>0</v>
      </c>
      <c r="V6" s="165">
        <v>0</v>
      </c>
      <c r="W6" s="165"/>
      <c r="X6" s="165">
        <v>19</v>
      </c>
      <c r="Y6" s="165">
        <v>132.30000000000001</v>
      </c>
      <c r="Z6" s="197">
        <f>Y6/X6</f>
        <v>6.9631578947368427</v>
      </c>
      <c r="AA6" s="164"/>
      <c r="AB6" s="165"/>
      <c r="AC6" s="165"/>
      <c r="AD6" s="165"/>
      <c r="AE6" s="165"/>
      <c r="AF6" s="169" t="e">
        <f>AE6/AD6</f>
        <v>#DIV/0!</v>
      </c>
      <c r="AG6" s="198">
        <v>94</v>
      </c>
      <c r="AH6" s="171">
        <v>1140.5014551055474</v>
      </c>
      <c r="AI6" s="172">
        <f>AH6/AG6</f>
        <v>12.132994203250504</v>
      </c>
      <c r="AJ6" s="199">
        <f>I6+L6+O6+R6+V6+Y6+AH6</f>
        <v>22425.781721294465</v>
      </c>
    </row>
    <row r="7" spans="1:36" x14ac:dyDescent="0.25">
      <c r="A7" s="163">
        <v>45718</v>
      </c>
      <c r="B7" s="175">
        <v>200</v>
      </c>
      <c r="C7" s="176">
        <v>210</v>
      </c>
      <c r="D7" s="176">
        <v>215</v>
      </c>
      <c r="E7" s="176">
        <v>18</v>
      </c>
      <c r="F7" s="165">
        <v>280</v>
      </c>
      <c r="G7" s="176"/>
      <c r="H7" s="165">
        <f t="shared" ref="H7:H36" si="0">B7*0.2+SUM(C7:F7)*0.4</f>
        <v>329.2</v>
      </c>
      <c r="I7" s="176">
        <v>24711.341078243979</v>
      </c>
      <c r="J7" s="166">
        <f t="shared" ref="J7:J36" si="1">I7/H7</f>
        <v>75.064827090656081</v>
      </c>
      <c r="K7" s="175">
        <v>46</v>
      </c>
      <c r="L7" s="177">
        <v>1870.8036557775943</v>
      </c>
      <c r="M7" s="178">
        <f t="shared" ref="M7:M36" si="2">L7/K7</f>
        <v>40.669644690817265</v>
      </c>
      <c r="N7" s="164">
        <v>25</v>
      </c>
      <c r="O7" s="177">
        <v>1346.7546042175691</v>
      </c>
      <c r="P7" s="178">
        <f t="shared" ref="P7:P36" si="3">O7/N7</f>
        <v>53.870184168702764</v>
      </c>
      <c r="Q7" s="175">
        <v>75</v>
      </c>
      <c r="R7" s="177">
        <v>3470.7174791546586</v>
      </c>
      <c r="S7" s="178">
        <f t="shared" ref="S7:S36" si="4">R7/Q7</f>
        <v>46.276233055395444</v>
      </c>
      <c r="T7" s="175"/>
      <c r="U7" s="176">
        <v>0</v>
      </c>
      <c r="V7" s="200">
        <v>0</v>
      </c>
      <c r="W7" s="177"/>
      <c r="X7" s="176">
        <v>100</v>
      </c>
      <c r="Y7" s="165">
        <v>663.4</v>
      </c>
      <c r="Z7" s="197">
        <f t="shared" ref="Z7:Z36" si="5">Y7/X7</f>
        <v>6.6339999999999995</v>
      </c>
      <c r="AA7" s="175"/>
      <c r="AB7" s="176"/>
      <c r="AC7" s="176"/>
      <c r="AD7" s="176"/>
      <c r="AE7" s="176"/>
      <c r="AF7" s="179"/>
      <c r="AG7" s="201">
        <v>94</v>
      </c>
      <c r="AH7" s="104">
        <v>1122.3114399204389</v>
      </c>
      <c r="AI7" s="172">
        <f>AH7/AG7</f>
        <v>11.939483403408925</v>
      </c>
      <c r="AJ7" s="199">
        <f t="shared" ref="AJ7:AJ36" si="6">I7+L7+O7+R7+V7+Y7+AH7</f>
        <v>33185.328257314242</v>
      </c>
    </row>
    <row r="8" spans="1:36" x14ac:dyDescent="0.25">
      <c r="A8" s="163">
        <v>45719</v>
      </c>
      <c r="B8" s="175">
        <v>200</v>
      </c>
      <c r="C8" s="176">
        <v>210</v>
      </c>
      <c r="D8" s="176">
        <v>219</v>
      </c>
      <c r="E8" s="176">
        <v>26</v>
      </c>
      <c r="F8" s="165">
        <v>280</v>
      </c>
      <c r="G8" s="176"/>
      <c r="H8" s="165">
        <f t="shared" si="0"/>
        <v>334</v>
      </c>
      <c r="I8" s="176">
        <v>31341.205894801657</v>
      </c>
      <c r="J8" s="166">
        <f t="shared" si="1"/>
        <v>93.835945792819331</v>
      </c>
      <c r="K8" s="175">
        <v>46</v>
      </c>
      <c r="L8" s="177">
        <v>1808.6095037793964</v>
      </c>
      <c r="M8" s="178">
        <f t="shared" si="2"/>
        <v>39.317597908247748</v>
      </c>
      <c r="N8" s="164">
        <v>25</v>
      </c>
      <c r="O8" s="177">
        <v>1754.339283657022</v>
      </c>
      <c r="P8" s="178">
        <f t="shared" si="3"/>
        <v>70.17357134628088</v>
      </c>
      <c r="Q8" s="175">
        <v>75</v>
      </c>
      <c r="R8" s="177">
        <v>2534.3862799948274</v>
      </c>
      <c r="S8" s="178">
        <f t="shared" si="4"/>
        <v>33.791817066597702</v>
      </c>
      <c r="T8" s="175"/>
      <c r="U8" s="176">
        <v>139</v>
      </c>
      <c r="V8" s="177">
        <v>1292.1348915033836</v>
      </c>
      <c r="W8" s="177">
        <f>V8/U8</f>
        <v>9.2959344712473637</v>
      </c>
      <c r="X8" s="176">
        <v>101</v>
      </c>
      <c r="Y8" s="165">
        <v>687.75</v>
      </c>
      <c r="Z8" s="197">
        <f t="shared" si="5"/>
        <v>6.8094059405940595</v>
      </c>
      <c r="AA8" s="175"/>
      <c r="AB8" s="176"/>
      <c r="AC8" s="176"/>
      <c r="AD8" s="176"/>
      <c r="AE8" s="176"/>
      <c r="AF8" s="179"/>
      <c r="AG8" s="201">
        <v>94</v>
      </c>
      <c r="AH8" s="104">
        <v>1108.6150768225721</v>
      </c>
      <c r="AI8" s="172">
        <f>AH8/AG8</f>
        <v>11.793777413006087</v>
      </c>
      <c r="AJ8" s="199">
        <f>I8+L8+O8+R8+V8+Y8+AH8</f>
        <v>40527.040930558847</v>
      </c>
    </row>
    <row r="9" spans="1:36" x14ac:dyDescent="0.25">
      <c r="A9" s="163">
        <v>45720</v>
      </c>
      <c r="B9" s="175">
        <v>200</v>
      </c>
      <c r="C9" s="176">
        <v>210</v>
      </c>
      <c r="D9" s="176">
        <v>207</v>
      </c>
      <c r="E9" s="176">
        <v>20</v>
      </c>
      <c r="F9" s="165">
        <v>280</v>
      </c>
      <c r="G9" s="176"/>
      <c r="H9" s="165">
        <f t="shared" si="0"/>
        <v>326.8</v>
      </c>
      <c r="I9" s="176">
        <v>31782.628384993881</v>
      </c>
      <c r="J9" s="181">
        <f t="shared" si="1"/>
        <v>97.254064825562665</v>
      </c>
      <c r="K9" s="175">
        <v>47</v>
      </c>
      <c r="L9" s="177">
        <v>4381.4737474050198</v>
      </c>
      <c r="M9" s="178">
        <f t="shared" si="2"/>
        <v>93.222845689468514</v>
      </c>
      <c r="N9" s="164">
        <v>25</v>
      </c>
      <c r="O9" s="177">
        <v>1674.8973096739564</v>
      </c>
      <c r="P9" s="178">
        <f t="shared" si="3"/>
        <v>66.995892386958261</v>
      </c>
      <c r="Q9" s="175">
        <v>75</v>
      </c>
      <c r="R9" s="177">
        <v>6989.0835455314327</v>
      </c>
      <c r="S9" s="178">
        <f t="shared" si="4"/>
        <v>93.18778060708577</v>
      </c>
      <c r="T9" s="175"/>
      <c r="U9" s="176">
        <v>0</v>
      </c>
      <c r="V9" s="177"/>
      <c r="W9" s="177" t="e">
        <f t="shared" ref="W9:W36" si="7">V9/U9</f>
        <v>#DIV/0!</v>
      </c>
      <c r="X9" s="176">
        <v>79</v>
      </c>
      <c r="Y9" s="165">
        <v>566.79999999999995</v>
      </c>
      <c r="Z9" s="197">
        <f t="shared" si="5"/>
        <v>7.1746835443037966</v>
      </c>
      <c r="AA9" s="175"/>
      <c r="AB9" s="176"/>
      <c r="AC9" s="176"/>
      <c r="AD9" s="176"/>
      <c r="AE9" s="176"/>
      <c r="AF9" s="179"/>
      <c r="AG9" s="201">
        <v>94</v>
      </c>
      <c r="AH9" s="104">
        <v>1098.4838047480484</v>
      </c>
      <c r="AI9" s="172">
        <f>AH9/AG9</f>
        <v>11.685997922851579</v>
      </c>
      <c r="AJ9" s="199">
        <f t="shared" si="6"/>
        <v>46493.366792352339</v>
      </c>
    </row>
    <row r="10" spans="1:36" x14ac:dyDescent="0.25">
      <c r="A10" s="163">
        <v>45721</v>
      </c>
      <c r="B10" s="175">
        <v>200</v>
      </c>
      <c r="C10" s="176">
        <v>210</v>
      </c>
      <c r="D10" s="176">
        <v>205</v>
      </c>
      <c r="E10" s="176">
        <v>20</v>
      </c>
      <c r="F10" s="165">
        <v>280</v>
      </c>
      <c r="G10" s="176"/>
      <c r="H10" s="165">
        <f t="shared" si="0"/>
        <v>326</v>
      </c>
      <c r="I10" s="176">
        <v>36765.724005374563</v>
      </c>
      <c r="J10" s="181">
        <f t="shared" si="1"/>
        <v>112.77829449501399</v>
      </c>
      <c r="K10" s="175">
        <v>48</v>
      </c>
      <c r="L10" s="177">
        <v>3536.7106597430497</v>
      </c>
      <c r="M10" s="178">
        <f t="shared" si="2"/>
        <v>73.681472077980203</v>
      </c>
      <c r="N10" s="164">
        <v>25</v>
      </c>
      <c r="O10" s="177">
        <v>1693.1594060870248</v>
      </c>
      <c r="P10" s="178">
        <f t="shared" si="3"/>
        <v>67.726376243480985</v>
      </c>
      <c r="Q10" s="175">
        <v>75</v>
      </c>
      <c r="R10" s="176">
        <v>5091.7792212297518</v>
      </c>
      <c r="S10" s="178">
        <f t="shared" si="4"/>
        <v>67.890389616396689</v>
      </c>
      <c r="T10" s="175"/>
      <c r="U10" s="176">
        <v>0</v>
      </c>
      <c r="V10" s="177"/>
      <c r="W10" s="177" t="e">
        <f t="shared" si="7"/>
        <v>#DIV/0!</v>
      </c>
      <c r="X10" s="176">
        <v>0</v>
      </c>
      <c r="Y10" s="165"/>
      <c r="Z10" s="197" t="e">
        <f t="shared" si="5"/>
        <v>#DIV/0!</v>
      </c>
      <c r="AA10" s="175"/>
      <c r="AB10" s="176"/>
      <c r="AC10" s="176"/>
      <c r="AD10" s="176"/>
      <c r="AE10" s="176"/>
      <c r="AF10" s="179"/>
      <c r="AG10" s="201">
        <v>94</v>
      </c>
      <c r="AH10" s="104">
        <v>1092.0442120131563</v>
      </c>
      <c r="AI10" s="172">
        <f t="shared" ref="AI10:AI35" si="8">AH10/AG10</f>
        <v>11.617491617161237</v>
      </c>
      <c r="AJ10" s="199">
        <f t="shared" si="6"/>
        <v>48179.417504447541</v>
      </c>
    </row>
    <row r="11" spans="1:36" x14ac:dyDescent="0.25">
      <c r="A11" s="163">
        <v>45722</v>
      </c>
      <c r="B11" s="175">
        <v>200</v>
      </c>
      <c r="C11" s="176">
        <v>210</v>
      </c>
      <c r="D11" s="176">
        <v>205</v>
      </c>
      <c r="E11" s="176">
        <v>25</v>
      </c>
      <c r="F11" s="165">
        <v>280</v>
      </c>
      <c r="G11" s="176"/>
      <c r="H11" s="165">
        <f t="shared" si="0"/>
        <v>328</v>
      </c>
      <c r="I11" s="176">
        <v>24509.059838083835</v>
      </c>
      <c r="J11" s="181">
        <f t="shared" si="1"/>
        <v>74.722743408792184</v>
      </c>
      <c r="K11" s="175">
        <v>47</v>
      </c>
      <c r="L11" s="177">
        <v>3862.2480694488095</v>
      </c>
      <c r="M11" s="178">
        <f t="shared" si="2"/>
        <v>82.175490839336376</v>
      </c>
      <c r="N11" s="164">
        <v>25</v>
      </c>
      <c r="O11" s="177">
        <v>1686.6708849763259</v>
      </c>
      <c r="P11" s="178">
        <f t="shared" si="3"/>
        <v>67.466835399053039</v>
      </c>
      <c r="Q11" s="175">
        <v>75</v>
      </c>
      <c r="R11" s="176">
        <v>4374.5485129601784</v>
      </c>
      <c r="S11" s="178">
        <f t="shared" si="4"/>
        <v>58.32731350613571</v>
      </c>
      <c r="T11" s="175"/>
      <c r="U11" s="176">
        <v>0</v>
      </c>
      <c r="V11" s="177"/>
      <c r="W11" s="177" t="e">
        <f t="shared" si="7"/>
        <v>#DIV/0!</v>
      </c>
      <c r="X11" s="176">
        <v>0</v>
      </c>
      <c r="Y11" s="165"/>
      <c r="Z11" s="197" t="e">
        <f t="shared" si="5"/>
        <v>#DIV/0!</v>
      </c>
      <c r="AA11" s="175"/>
      <c r="AB11" s="176"/>
      <c r="AC11" s="176"/>
      <c r="AD11" s="176"/>
      <c r="AE11" s="176"/>
      <c r="AF11" s="179"/>
      <c r="AG11" s="201">
        <v>94</v>
      </c>
      <c r="AH11" s="104">
        <v>814.52623739096282</v>
      </c>
      <c r="AI11" s="172">
        <f t="shared" si="8"/>
        <v>8.6651727382017327</v>
      </c>
      <c r="AJ11" s="199">
        <f t="shared" si="6"/>
        <v>35247.053542860114</v>
      </c>
    </row>
    <row r="12" spans="1:36" x14ac:dyDescent="0.25">
      <c r="A12" s="163">
        <v>45723</v>
      </c>
      <c r="B12" s="175">
        <v>85</v>
      </c>
      <c r="C12" s="176">
        <v>95</v>
      </c>
      <c r="D12" s="176">
        <v>85</v>
      </c>
      <c r="E12" s="176">
        <v>10</v>
      </c>
      <c r="F12" s="165">
        <v>280</v>
      </c>
      <c r="G12" s="176"/>
      <c r="H12" s="165">
        <f t="shared" si="0"/>
        <v>205</v>
      </c>
      <c r="I12" s="176">
        <v>11340.097500113989</v>
      </c>
      <c r="J12" s="181">
        <f t="shared" si="1"/>
        <v>55.317548781043847</v>
      </c>
      <c r="K12" s="175">
        <v>46</v>
      </c>
      <c r="L12" s="177">
        <v>1615.8765654981514</v>
      </c>
      <c r="M12" s="178">
        <f t="shared" si="2"/>
        <v>35.127751423872859</v>
      </c>
      <c r="N12" s="164">
        <v>25</v>
      </c>
      <c r="O12" s="177">
        <v>1699.8031105249847</v>
      </c>
      <c r="P12" s="178">
        <f t="shared" si="3"/>
        <v>67.992124420999389</v>
      </c>
      <c r="Q12" s="175">
        <v>75</v>
      </c>
      <c r="R12" s="176">
        <v>3936.4188892158054</v>
      </c>
      <c r="S12" s="178">
        <f t="shared" si="4"/>
        <v>52.485585189544075</v>
      </c>
      <c r="T12" s="175"/>
      <c r="U12" s="176"/>
      <c r="V12" s="177"/>
      <c r="W12" s="177" t="e">
        <f t="shared" si="7"/>
        <v>#DIV/0!</v>
      </c>
      <c r="X12" s="176"/>
      <c r="Y12" s="165"/>
      <c r="Z12" s="197" t="e">
        <f t="shared" si="5"/>
        <v>#DIV/0!</v>
      </c>
      <c r="AA12" s="175"/>
      <c r="AB12" s="176"/>
      <c r="AC12" s="176"/>
      <c r="AD12" s="176"/>
      <c r="AE12" s="176"/>
      <c r="AF12" s="179"/>
      <c r="AG12" s="201">
        <v>94</v>
      </c>
      <c r="AH12" s="104">
        <v>1041.6553929116733</v>
      </c>
      <c r="AI12" s="172">
        <f t="shared" si="8"/>
        <v>11.081440350124184</v>
      </c>
      <c r="AJ12" s="199">
        <f t="shared" si="6"/>
        <v>19633.851458264606</v>
      </c>
    </row>
    <row r="13" spans="1:36" x14ac:dyDescent="0.25">
      <c r="A13" s="163">
        <v>45724</v>
      </c>
      <c r="B13" s="175">
        <v>85</v>
      </c>
      <c r="C13" s="176">
        <v>95</v>
      </c>
      <c r="D13" s="176">
        <v>85</v>
      </c>
      <c r="E13" s="176">
        <v>10</v>
      </c>
      <c r="F13" s="165">
        <v>280</v>
      </c>
      <c r="G13" s="176"/>
      <c r="H13" s="165">
        <f t="shared" si="0"/>
        <v>205</v>
      </c>
      <c r="I13" s="176">
        <v>13333.282945039351</v>
      </c>
      <c r="J13" s="181">
        <f t="shared" si="1"/>
        <v>65.040404609948055</v>
      </c>
      <c r="K13" s="175">
        <v>46</v>
      </c>
      <c r="L13" s="177">
        <v>1619.9888107936977</v>
      </c>
      <c r="M13" s="178">
        <f t="shared" si="2"/>
        <v>35.217148060732555</v>
      </c>
      <c r="N13" s="164">
        <v>25</v>
      </c>
      <c r="O13" s="177">
        <v>1755.9619964094838</v>
      </c>
      <c r="P13" s="178">
        <f t="shared" si="3"/>
        <v>70.238479856379357</v>
      </c>
      <c r="Q13" s="175">
        <v>75</v>
      </c>
      <c r="R13" s="176">
        <v>5160.9958538441861</v>
      </c>
      <c r="S13" s="178">
        <f t="shared" si="4"/>
        <v>68.813278051255807</v>
      </c>
      <c r="T13" s="175"/>
      <c r="U13" s="176"/>
      <c r="V13" s="177"/>
      <c r="W13" s="177" t="e">
        <f t="shared" si="7"/>
        <v>#DIV/0!</v>
      </c>
      <c r="X13" s="176"/>
      <c r="Y13" s="165"/>
      <c r="Z13" s="197" t="e">
        <f t="shared" si="5"/>
        <v>#DIV/0!</v>
      </c>
      <c r="AA13" s="175"/>
      <c r="AB13" s="176"/>
      <c r="AC13" s="176"/>
      <c r="AD13" s="176"/>
      <c r="AE13" s="176"/>
      <c r="AF13" s="179"/>
      <c r="AG13" s="201">
        <v>94</v>
      </c>
      <c r="AH13" s="104">
        <v>1054.1597004295247</v>
      </c>
      <c r="AI13" s="172">
        <f t="shared" si="8"/>
        <v>11.214464898186433</v>
      </c>
      <c r="AJ13" s="199">
        <f t="shared" si="6"/>
        <v>22924.389306516245</v>
      </c>
    </row>
    <row r="14" spans="1:36" x14ac:dyDescent="0.25">
      <c r="A14" s="163">
        <v>45725</v>
      </c>
      <c r="B14" s="175">
        <v>200</v>
      </c>
      <c r="C14" s="176">
        <v>210</v>
      </c>
      <c r="D14" s="176">
        <v>237</v>
      </c>
      <c r="E14" s="176">
        <v>25</v>
      </c>
      <c r="F14" s="165">
        <v>280</v>
      </c>
      <c r="G14" s="176"/>
      <c r="H14" s="165">
        <f t="shared" si="0"/>
        <v>340.8</v>
      </c>
      <c r="I14" s="176">
        <v>27194.554316904825</v>
      </c>
      <c r="J14" s="181">
        <f t="shared" si="1"/>
        <v>79.796227455706642</v>
      </c>
      <c r="K14" s="175">
        <v>45</v>
      </c>
      <c r="L14" s="177">
        <v>3799.6498671857253</v>
      </c>
      <c r="M14" s="178">
        <f t="shared" si="2"/>
        <v>84.436663715238339</v>
      </c>
      <c r="N14" s="164">
        <v>25</v>
      </c>
      <c r="O14" s="177">
        <v>1834.5164086608927</v>
      </c>
      <c r="P14" s="178">
        <f t="shared" si="3"/>
        <v>73.380656346435714</v>
      </c>
      <c r="Q14" s="175">
        <v>75</v>
      </c>
      <c r="R14" s="176">
        <v>5469.4213870809826</v>
      </c>
      <c r="S14" s="178">
        <f t="shared" si="4"/>
        <v>72.925618494413101</v>
      </c>
      <c r="T14" s="175"/>
      <c r="U14" s="176">
        <v>139</v>
      </c>
      <c r="V14" s="177">
        <v>1336.35</v>
      </c>
      <c r="W14" s="177">
        <f t="shared" si="7"/>
        <v>9.614028776978417</v>
      </c>
      <c r="X14" s="176">
        <v>2</v>
      </c>
      <c r="Y14" s="176">
        <v>13.14</v>
      </c>
      <c r="Z14" s="197">
        <f t="shared" si="5"/>
        <v>6.57</v>
      </c>
      <c r="AA14" s="175"/>
      <c r="AB14" s="176"/>
      <c r="AC14" s="176"/>
      <c r="AD14" s="176"/>
      <c r="AE14" s="176"/>
      <c r="AF14" s="179"/>
      <c r="AG14" s="201">
        <v>94</v>
      </c>
      <c r="AH14" s="104">
        <v>1140.7611471062435</v>
      </c>
      <c r="AI14" s="172">
        <f t="shared" si="8"/>
        <v>12.135756884108973</v>
      </c>
      <c r="AJ14" s="199">
        <f t="shared" si="6"/>
        <v>40788.393126938667</v>
      </c>
    </row>
    <row r="15" spans="1:36" x14ac:dyDescent="0.25">
      <c r="A15" s="163">
        <v>45726</v>
      </c>
      <c r="B15" s="175">
        <v>200</v>
      </c>
      <c r="C15" s="176">
        <v>210</v>
      </c>
      <c r="D15" s="176">
        <v>223</v>
      </c>
      <c r="E15" s="176">
        <v>22</v>
      </c>
      <c r="F15" s="165">
        <v>280</v>
      </c>
      <c r="G15" s="176"/>
      <c r="H15" s="165">
        <f t="shared" si="0"/>
        <v>334</v>
      </c>
      <c r="I15" s="176">
        <v>26714.560244258253</v>
      </c>
      <c r="J15" s="181">
        <f t="shared" si="1"/>
        <v>79.983713306162429</v>
      </c>
      <c r="K15" s="175">
        <v>46</v>
      </c>
      <c r="L15" s="177">
        <v>4530.7986676794781</v>
      </c>
      <c r="M15" s="178">
        <f t="shared" si="2"/>
        <v>98.495623210423432</v>
      </c>
      <c r="N15" s="164">
        <v>25</v>
      </c>
      <c r="O15" s="177">
        <v>1970.2276199956711</v>
      </c>
      <c r="P15" s="178">
        <f t="shared" si="3"/>
        <v>78.809104799826841</v>
      </c>
      <c r="Q15" s="175">
        <v>75</v>
      </c>
      <c r="R15" s="176">
        <v>4130.9550486401286</v>
      </c>
      <c r="S15" s="178">
        <f t="shared" si="4"/>
        <v>55.079400648535049</v>
      </c>
      <c r="T15" s="175"/>
      <c r="U15" s="176"/>
      <c r="V15" s="177"/>
      <c r="W15" s="177" t="e">
        <f t="shared" si="7"/>
        <v>#DIV/0!</v>
      </c>
      <c r="X15" s="176"/>
      <c r="Y15" s="176"/>
      <c r="Z15" s="197" t="e">
        <f t="shared" si="5"/>
        <v>#DIV/0!</v>
      </c>
      <c r="AA15" s="175"/>
      <c r="AB15" s="176"/>
      <c r="AC15" s="176"/>
      <c r="AD15" s="176"/>
      <c r="AE15" s="176"/>
      <c r="AF15" s="179"/>
      <c r="AG15" s="201">
        <v>94</v>
      </c>
      <c r="AH15" s="104">
        <v>1109.5914550249672</v>
      </c>
      <c r="AI15" s="172">
        <f t="shared" si="8"/>
        <v>11.804164415159226</v>
      </c>
      <c r="AJ15" s="199">
        <f t="shared" si="6"/>
        <v>38456.133035598497</v>
      </c>
    </row>
    <row r="16" spans="1:36" x14ac:dyDescent="0.25">
      <c r="A16" s="163">
        <v>45727</v>
      </c>
      <c r="B16" s="175">
        <v>200</v>
      </c>
      <c r="C16" s="176">
        <v>210</v>
      </c>
      <c r="D16" s="176">
        <v>248</v>
      </c>
      <c r="E16" s="176">
        <v>18</v>
      </c>
      <c r="F16" s="165">
        <v>280</v>
      </c>
      <c r="G16" s="176"/>
      <c r="H16" s="165">
        <f t="shared" si="0"/>
        <v>342.40000000000003</v>
      </c>
      <c r="I16" s="176">
        <v>24250.016101724374</v>
      </c>
      <c r="J16" s="181">
        <f t="shared" si="1"/>
        <v>70.823645156905286</v>
      </c>
      <c r="K16" s="175">
        <v>49</v>
      </c>
      <c r="L16" s="177">
        <v>3540.645519311423</v>
      </c>
      <c r="M16" s="178">
        <f t="shared" si="2"/>
        <v>72.258071822682098</v>
      </c>
      <c r="N16" s="164">
        <v>25</v>
      </c>
      <c r="O16" s="177">
        <v>1922.4508187291469</v>
      </c>
      <c r="P16" s="178">
        <f t="shared" si="3"/>
        <v>76.898032749165878</v>
      </c>
      <c r="Q16" s="175">
        <v>75</v>
      </c>
      <c r="R16" s="176">
        <v>4307.5712373025872</v>
      </c>
      <c r="S16" s="178">
        <f t="shared" si="4"/>
        <v>57.434283164034497</v>
      </c>
      <c r="T16" s="175"/>
      <c r="U16" s="176"/>
      <c r="V16" s="177"/>
      <c r="W16" s="177" t="e">
        <f t="shared" si="7"/>
        <v>#DIV/0!</v>
      </c>
      <c r="X16" s="176">
        <v>22</v>
      </c>
      <c r="Y16" s="176">
        <v>148.12</v>
      </c>
      <c r="Z16" s="197">
        <f t="shared" si="5"/>
        <v>6.7327272727272733</v>
      </c>
      <c r="AA16" s="175"/>
      <c r="AB16" s="176"/>
      <c r="AC16" s="176"/>
      <c r="AD16" s="176"/>
      <c r="AE16" s="176"/>
      <c r="AF16" s="179"/>
      <c r="AG16" s="201">
        <v>94</v>
      </c>
      <c r="AH16" s="104">
        <v>1039.5679314262629</v>
      </c>
      <c r="AI16" s="172">
        <f t="shared" si="8"/>
        <v>11.05923331304535</v>
      </c>
      <c r="AJ16" s="199">
        <f t="shared" si="6"/>
        <v>35208.371608493791</v>
      </c>
    </row>
    <row r="17" spans="1:36" x14ac:dyDescent="0.25">
      <c r="A17" s="163">
        <v>45728</v>
      </c>
      <c r="B17" s="175">
        <v>200</v>
      </c>
      <c r="C17" s="176">
        <v>210</v>
      </c>
      <c r="D17" s="176">
        <v>239</v>
      </c>
      <c r="E17" s="176">
        <v>23</v>
      </c>
      <c r="F17" s="165">
        <v>280</v>
      </c>
      <c r="G17" s="176"/>
      <c r="H17" s="165">
        <f t="shared" si="0"/>
        <v>340.8</v>
      </c>
      <c r="I17" s="176">
        <v>12891.392278159643</v>
      </c>
      <c r="J17" s="181">
        <f t="shared" si="1"/>
        <v>37.826855276290033</v>
      </c>
      <c r="K17" s="175">
        <v>47</v>
      </c>
      <c r="L17" s="177">
        <v>3480.641249569961</v>
      </c>
      <c r="M17" s="178">
        <f t="shared" si="2"/>
        <v>74.056196799360876</v>
      </c>
      <c r="N17" s="164">
        <v>25</v>
      </c>
      <c r="O17" s="177">
        <v>1504.7630425661121</v>
      </c>
      <c r="P17" s="178">
        <f t="shared" si="3"/>
        <v>60.190521702644482</v>
      </c>
      <c r="Q17" s="175">
        <v>75</v>
      </c>
      <c r="R17" s="176">
        <v>3409.465438947278</v>
      </c>
      <c r="S17" s="178">
        <f t="shared" si="4"/>
        <v>45.459539185963706</v>
      </c>
      <c r="T17" s="175"/>
      <c r="U17" s="176"/>
      <c r="V17" s="177"/>
      <c r="W17" s="177" t="e">
        <f t="shared" si="7"/>
        <v>#DIV/0!</v>
      </c>
      <c r="X17" s="176">
        <v>19</v>
      </c>
      <c r="Y17" s="176">
        <v>144.38999999999999</v>
      </c>
      <c r="Z17" s="197">
        <f t="shared" si="5"/>
        <v>7.5994736842105253</v>
      </c>
      <c r="AA17" s="175"/>
      <c r="AB17" s="176"/>
      <c r="AC17" s="176"/>
      <c r="AD17" s="176"/>
      <c r="AE17" s="176"/>
      <c r="AF17" s="179"/>
      <c r="AG17" s="201">
        <v>94</v>
      </c>
      <c r="AH17" s="104">
        <v>1076.460285163384</v>
      </c>
      <c r="AI17" s="172">
        <f t="shared" si="8"/>
        <v>11.451705161312596</v>
      </c>
      <c r="AJ17" s="199">
        <f t="shared" si="6"/>
        <v>22507.112294406375</v>
      </c>
    </row>
    <row r="18" spans="1:36" x14ac:dyDescent="0.25">
      <c r="A18" s="163">
        <v>45729</v>
      </c>
      <c r="B18" s="175">
        <v>200</v>
      </c>
      <c r="C18" s="176">
        <v>210</v>
      </c>
      <c r="D18" s="176">
        <v>205</v>
      </c>
      <c r="E18" s="176">
        <v>26</v>
      </c>
      <c r="F18" s="165">
        <v>280</v>
      </c>
      <c r="G18" s="176"/>
      <c r="H18" s="165">
        <f t="shared" si="0"/>
        <v>328.40000000000003</v>
      </c>
      <c r="I18" s="176">
        <v>19629.477268949111</v>
      </c>
      <c r="J18" s="181">
        <f t="shared" si="1"/>
        <v>59.773073291562454</v>
      </c>
      <c r="K18" s="175">
        <v>48</v>
      </c>
      <c r="L18" s="177">
        <v>2848.9390654205608</v>
      </c>
      <c r="M18" s="178">
        <f t="shared" si="2"/>
        <v>59.352897196261686</v>
      </c>
      <c r="N18" s="164">
        <v>25</v>
      </c>
      <c r="O18" s="177">
        <v>1693.4519426567772</v>
      </c>
      <c r="P18" s="178">
        <f t="shared" si="3"/>
        <v>67.738077706271085</v>
      </c>
      <c r="Q18" s="175">
        <v>75</v>
      </c>
      <c r="R18" s="176">
        <v>3393.5572443797346</v>
      </c>
      <c r="S18" s="178">
        <f t="shared" si="4"/>
        <v>45.24742992506313</v>
      </c>
      <c r="T18" s="175"/>
      <c r="U18" s="176"/>
      <c r="V18" s="177"/>
      <c r="W18" s="177" t="e">
        <f t="shared" si="7"/>
        <v>#DIV/0!</v>
      </c>
      <c r="X18" s="176"/>
      <c r="Y18" s="176"/>
      <c r="Z18" s="197" t="e">
        <f t="shared" si="5"/>
        <v>#DIV/0!</v>
      </c>
      <c r="AA18" s="175"/>
      <c r="AB18" s="176"/>
      <c r="AC18" s="176"/>
      <c r="AD18" s="176"/>
      <c r="AE18" s="176"/>
      <c r="AF18" s="179"/>
      <c r="AG18" s="201">
        <v>94</v>
      </c>
      <c r="AH18" s="104">
        <v>1125.5674563477278</v>
      </c>
      <c r="AI18" s="172">
        <f t="shared" si="8"/>
        <v>11.974121876039657</v>
      </c>
      <c r="AJ18" s="199">
        <f t="shared" si="6"/>
        <v>28690.992977753915</v>
      </c>
    </row>
    <row r="19" spans="1:36" x14ac:dyDescent="0.25">
      <c r="A19" s="163">
        <v>45730</v>
      </c>
      <c r="B19" s="175">
        <v>85</v>
      </c>
      <c r="C19" s="176">
        <v>95</v>
      </c>
      <c r="D19" s="176">
        <v>85</v>
      </c>
      <c r="E19" s="176">
        <v>27</v>
      </c>
      <c r="F19" s="165">
        <v>280</v>
      </c>
      <c r="G19" s="176"/>
      <c r="H19" s="165">
        <f t="shared" si="0"/>
        <v>211.8</v>
      </c>
      <c r="I19" s="176">
        <v>13491.226540270796</v>
      </c>
      <c r="J19" s="181">
        <f t="shared" si="1"/>
        <v>63.697953447926324</v>
      </c>
      <c r="K19" s="175">
        <v>44</v>
      </c>
      <c r="L19" s="177">
        <v>3131.3605242048961</v>
      </c>
      <c r="M19" s="178">
        <f t="shared" si="2"/>
        <v>71.167284641020373</v>
      </c>
      <c r="N19" s="164">
        <v>25</v>
      </c>
      <c r="O19" s="177">
        <v>1869.6600807806785</v>
      </c>
      <c r="P19" s="178">
        <f t="shared" si="3"/>
        <v>74.786403231227141</v>
      </c>
      <c r="Q19" s="175">
        <v>75</v>
      </c>
      <c r="R19" s="176">
        <v>4500.2416307797412</v>
      </c>
      <c r="S19" s="178">
        <f t="shared" si="4"/>
        <v>60.003221743729881</v>
      </c>
      <c r="T19" s="175"/>
      <c r="U19" s="176"/>
      <c r="V19" s="177"/>
      <c r="W19" s="177" t="e">
        <f t="shared" si="7"/>
        <v>#DIV/0!</v>
      </c>
      <c r="X19" s="176"/>
      <c r="Y19" s="176"/>
      <c r="Z19" s="197" t="e">
        <f t="shared" si="5"/>
        <v>#DIV/0!</v>
      </c>
      <c r="AA19" s="175"/>
      <c r="AB19" s="176"/>
      <c r="AC19" s="176"/>
      <c r="AD19" s="176"/>
      <c r="AE19" s="176"/>
      <c r="AF19" s="179"/>
      <c r="AG19" s="201">
        <v>94</v>
      </c>
      <c r="AH19" s="104">
        <v>1144.3757575757575</v>
      </c>
      <c r="AI19" s="172">
        <f t="shared" si="8"/>
        <v>12.174210186976143</v>
      </c>
      <c r="AJ19" s="199">
        <f t="shared" si="6"/>
        <v>24136.864533611875</v>
      </c>
    </row>
    <row r="20" spans="1:36" x14ac:dyDescent="0.25">
      <c r="A20" s="163">
        <v>45731</v>
      </c>
      <c r="B20" s="175">
        <v>85</v>
      </c>
      <c r="C20" s="176">
        <v>95</v>
      </c>
      <c r="D20" s="176">
        <v>85</v>
      </c>
      <c r="E20" s="176">
        <v>15</v>
      </c>
      <c r="F20" s="165">
        <v>280</v>
      </c>
      <c r="G20" s="176"/>
      <c r="H20" s="165">
        <f t="shared" si="0"/>
        <v>207</v>
      </c>
      <c r="I20" s="176">
        <v>12818.14479086631</v>
      </c>
      <c r="J20" s="181">
        <f t="shared" si="1"/>
        <v>61.923404786793768</v>
      </c>
      <c r="K20" s="175">
        <v>45</v>
      </c>
      <c r="L20" s="177">
        <v>216.00934763747898</v>
      </c>
      <c r="M20" s="178">
        <f t="shared" si="2"/>
        <v>4.8002077252773105</v>
      </c>
      <c r="N20" s="164">
        <v>25</v>
      </c>
      <c r="O20" s="177"/>
      <c r="P20" s="178">
        <f t="shared" si="3"/>
        <v>0</v>
      </c>
      <c r="Q20" s="175">
        <v>75</v>
      </c>
      <c r="R20" s="176">
        <v>3469.2934553478231</v>
      </c>
      <c r="S20" s="178">
        <f t="shared" si="4"/>
        <v>46.257246071304309</v>
      </c>
      <c r="T20" s="175"/>
      <c r="U20" s="176"/>
      <c r="V20" s="177"/>
      <c r="W20" s="177" t="e">
        <f t="shared" si="7"/>
        <v>#DIV/0!</v>
      </c>
      <c r="X20" s="176"/>
      <c r="Y20" s="176"/>
      <c r="Z20" s="197" t="e">
        <f t="shared" si="5"/>
        <v>#DIV/0!</v>
      </c>
      <c r="AA20" s="175"/>
      <c r="AB20" s="176"/>
      <c r="AC20" s="176"/>
      <c r="AD20" s="176"/>
      <c r="AE20" s="176"/>
      <c r="AF20" s="179"/>
      <c r="AG20" s="201">
        <v>94</v>
      </c>
      <c r="AH20" s="104">
        <v>962.14229091549169</v>
      </c>
      <c r="AI20" s="172">
        <f t="shared" si="8"/>
        <v>10.235556286335019</v>
      </c>
      <c r="AJ20" s="199">
        <f t="shared" si="6"/>
        <v>17465.589884767105</v>
      </c>
    </row>
    <row r="21" spans="1:36" x14ac:dyDescent="0.25">
      <c r="A21" s="163">
        <v>45732</v>
      </c>
      <c r="B21" s="175">
        <v>200</v>
      </c>
      <c r="C21" s="176">
        <v>210</v>
      </c>
      <c r="D21" s="176">
        <v>278</v>
      </c>
      <c r="E21" s="176">
        <v>28</v>
      </c>
      <c r="F21" s="165">
        <v>280</v>
      </c>
      <c r="G21" s="176"/>
      <c r="H21" s="165">
        <f t="shared" si="0"/>
        <v>358.40000000000003</v>
      </c>
      <c r="I21" s="176">
        <v>14989.146165057628</v>
      </c>
      <c r="J21" s="181">
        <f t="shared" si="1"/>
        <v>41.822394433754539</v>
      </c>
      <c r="K21" s="175">
        <v>49</v>
      </c>
      <c r="L21" s="177">
        <v>364.64155753643922</v>
      </c>
      <c r="M21" s="178">
        <f t="shared" si="2"/>
        <v>7.441664439519168</v>
      </c>
      <c r="N21" s="164">
        <v>25</v>
      </c>
      <c r="O21" s="177">
        <v>410.83790268087506</v>
      </c>
      <c r="P21" s="178">
        <f t="shared" si="3"/>
        <v>16.433516107235004</v>
      </c>
      <c r="Q21" s="175">
        <v>75</v>
      </c>
      <c r="R21" s="176">
        <v>2486.6955060784908</v>
      </c>
      <c r="S21" s="178">
        <f t="shared" si="4"/>
        <v>33.155940081046545</v>
      </c>
      <c r="T21" s="175"/>
      <c r="U21" s="176">
        <v>136</v>
      </c>
      <c r="V21" s="177">
        <v>1339.08</v>
      </c>
      <c r="W21" s="177">
        <f t="shared" si="7"/>
        <v>9.8461764705882349</v>
      </c>
      <c r="X21" s="176">
        <v>19</v>
      </c>
      <c r="Y21" s="176">
        <v>128.91</v>
      </c>
      <c r="Z21" s="197">
        <f t="shared" si="5"/>
        <v>6.7847368421052634</v>
      </c>
      <c r="AA21" s="175"/>
      <c r="AB21" s="176"/>
      <c r="AC21" s="176"/>
      <c r="AD21" s="176"/>
      <c r="AE21" s="176"/>
      <c r="AF21" s="179"/>
      <c r="AG21" s="201">
        <v>94</v>
      </c>
      <c r="AH21" s="104">
        <v>1078.2568351581972</v>
      </c>
      <c r="AI21" s="172">
        <f t="shared" si="8"/>
        <v>11.470817395299971</v>
      </c>
      <c r="AJ21" s="199">
        <f t="shared" si="6"/>
        <v>20797.567966511626</v>
      </c>
    </row>
    <row r="22" spans="1:36" x14ac:dyDescent="0.25">
      <c r="A22" s="163">
        <v>45733</v>
      </c>
      <c r="B22" s="175">
        <v>200</v>
      </c>
      <c r="C22" s="176">
        <v>210</v>
      </c>
      <c r="D22" s="176">
        <v>242</v>
      </c>
      <c r="E22" s="176">
        <v>37</v>
      </c>
      <c r="F22" s="165">
        <v>280</v>
      </c>
      <c r="G22" s="176"/>
      <c r="H22" s="165">
        <f t="shared" si="0"/>
        <v>347.6</v>
      </c>
      <c r="I22" s="176">
        <v>13989.489320158084</v>
      </c>
      <c r="J22" s="181">
        <f t="shared" si="1"/>
        <v>40.24594165753188</v>
      </c>
      <c r="K22" s="175">
        <v>48</v>
      </c>
      <c r="L22" s="177">
        <v>432.22204194989985</v>
      </c>
      <c r="M22" s="178">
        <f t="shared" si="2"/>
        <v>9.0046258739562468</v>
      </c>
      <c r="N22" s="164">
        <v>25</v>
      </c>
      <c r="O22" s="177">
        <v>628.14258316928431</v>
      </c>
      <c r="P22" s="178">
        <f t="shared" si="3"/>
        <v>25.125703326771372</v>
      </c>
      <c r="Q22" s="175">
        <v>75</v>
      </c>
      <c r="R22" s="176">
        <v>1388.2397774504875</v>
      </c>
      <c r="S22" s="178">
        <f t="shared" si="4"/>
        <v>18.509863699339835</v>
      </c>
      <c r="T22" s="175"/>
      <c r="U22" s="176"/>
      <c r="V22" s="177"/>
      <c r="W22" s="177" t="e">
        <f t="shared" si="7"/>
        <v>#DIV/0!</v>
      </c>
      <c r="X22" s="176">
        <v>22</v>
      </c>
      <c r="Y22" s="176">
        <v>148.09</v>
      </c>
      <c r="Z22" s="197">
        <f t="shared" si="5"/>
        <v>6.7313636363636364</v>
      </c>
      <c r="AA22" s="175"/>
      <c r="AB22" s="176"/>
      <c r="AC22" s="176"/>
      <c r="AD22" s="176"/>
      <c r="AE22" s="176"/>
      <c r="AF22" s="179"/>
      <c r="AG22" s="201">
        <v>94</v>
      </c>
      <c r="AH22" s="104">
        <v>1073.034550980524</v>
      </c>
      <c r="AI22" s="172">
        <f t="shared" si="8"/>
        <v>11.415261180643872</v>
      </c>
      <c r="AJ22" s="199">
        <f t="shared" si="6"/>
        <v>17659.218273708277</v>
      </c>
    </row>
    <row r="23" spans="1:36" x14ac:dyDescent="0.25">
      <c r="A23" s="163">
        <v>45734</v>
      </c>
      <c r="B23" s="175">
        <v>200</v>
      </c>
      <c r="C23" s="176">
        <v>210</v>
      </c>
      <c r="D23" s="176">
        <v>242</v>
      </c>
      <c r="E23" s="176">
        <v>27</v>
      </c>
      <c r="F23" s="165">
        <v>280</v>
      </c>
      <c r="G23" s="176"/>
      <c r="H23" s="165">
        <f t="shared" si="0"/>
        <v>343.6</v>
      </c>
      <c r="I23" s="176">
        <v>20846.800842956574</v>
      </c>
      <c r="J23" s="181">
        <f t="shared" si="1"/>
        <v>60.671713745508072</v>
      </c>
      <c r="K23" s="175">
        <v>48</v>
      </c>
      <c r="L23" s="177">
        <v>2293.7640231589189</v>
      </c>
      <c r="M23" s="178">
        <f t="shared" si="2"/>
        <v>47.78675048247748</v>
      </c>
      <c r="N23" s="164">
        <v>25</v>
      </c>
      <c r="O23" s="177">
        <v>992.80015119673567</v>
      </c>
      <c r="P23" s="178">
        <f t="shared" si="3"/>
        <v>39.71200604786943</v>
      </c>
      <c r="Q23" s="175">
        <v>75</v>
      </c>
      <c r="R23" s="176">
        <v>4743.5485129601784</v>
      </c>
      <c r="S23" s="178">
        <f t="shared" si="4"/>
        <v>63.247313506135711</v>
      </c>
      <c r="T23" s="175"/>
      <c r="U23" s="176"/>
      <c r="V23" s="177"/>
      <c r="W23" s="177" t="e">
        <f t="shared" si="7"/>
        <v>#DIV/0!</v>
      </c>
      <c r="X23" s="176">
        <v>28</v>
      </c>
      <c r="Y23" s="176">
        <v>191.1</v>
      </c>
      <c r="Z23" s="197">
        <f t="shared" si="5"/>
        <v>6.8250000000000002</v>
      </c>
      <c r="AA23" s="175"/>
      <c r="AB23" s="176"/>
      <c r="AC23" s="176"/>
      <c r="AD23" s="176"/>
      <c r="AE23" s="176"/>
      <c r="AF23" s="179"/>
      <c r="AG23" s="201">
        <v>94</v>
      </c>
      <c r="AH23" s="104">
        <v>1011.2435641247154</v>
      </c>
      <c r="AI23" s="172">
        <f t="shared" si="8"/>
        <v>10.757910256645909</v>
      </c>
      <c r="AJ23" s="199">
        <f t="shared" si="6"/>
        <v>30079.257094397115</v>
      </c>
    </row>
    <row r="24" spans="1:36" x14ac:dyDescent="0.25">
      <c r="A24" s="163">
        <v>45735</v>
      </c>
      <c r="B24" s="175">
        <v>200</v>
      </c>
      <c r="C24" s="176">
        <v>210</v>
      </c>
      <c r="D24" s="176">
        <v>246</v>
      </c>
      <c r="E24" s="176">
        <v>35</v>
      </c>
      <c r="F24" s="165">
        <v>280</v>
      </c>
      <c r="G24" s="176"/>
      <c r="H24" s="165">
        <f t="shared" si="0"/>
        <v>348.40000000000003</v>
      </c>
      <c r="I24" s="176">
        <v>19619.731889495935</v>
      </c>
      <c r="J24" s="181">
        <f t="shared" si="1"/>
        <v>56.313811393501531</v>
      </c>
      <c r="K24" s="175">
        <v>47</v>
      </c>
      <c r="L24" s="177">
        <v>925.70789188211302</v>
      </c>
      <c r="M24" s="178">
        <f t="shared" si="2"/>
        <v>19.695912593236446</v>
      </c>
      <c r="N24" s="164">
        <v>25</v>
      </c>
      <c r="O24" s="177">
        <v>1182.3986678460858</v>
      </c>
      <c r="P24" s="178">
        <f t="shared" si="3"/>
        <v>47.295946713843435</v>
      </c>
      <c r="Q24" s="175">
        <v>75</v>
      </c>
      <c r="R24" s="176">
        <v>3157.3768264615524</v>
      </c>
      <c r="S24" s="178">
        <f t="shared" si="4"/>
        <v>42.098357686154031</v>
      </c>
      <c r="T24" s="175"/>
      <c r="U24" s="176"/>
      <c r="V24" s="177"/>
      <c r="W24" s="177" t="e">
        <f t="shared" si="7"/>
        <v>#DIV/0!</v>
      </c>
      <c r="X24" s="176">
        <v>14</v>
      </c>
      <c r="Y24" s="176">
        <v>94.08</v>
      </c>
      <c r="Z24" s="197">
        <f t="shared" si="5"/>
        <v>6.72</v>
      </c>
      <c r="AA24" s="175"/>
      <c r="AB24" s="176"/>
      <c r="AC24" s="176"/>
      <c r="AD24" s="176"/>
      <c r="AE24" s="176"/>
      <c r="AF24" s="179"/>
      <c r="AG24" s="201">
        <v>94</v>
      </c>
      <c r="AH24" s="104">
        <v>1062.4332486009323</v>
      </c>
      <c r="AI24" s="172">
        <f t="shared" si="8"/>
        <v>11.302481368095025</v>
      </c>
      <c r="AJ24" s="199">
        <f t="shared" si="6"/>
        <v>26041.728524286624</v>
      </c>
    </row>
    <row r="25" spans="1:36" x14ac:dyDescent="0.25">
      <c r="A25" s="163">
        <v>45736</v>
      </c>
      <c r="B25" s="175">
        <v>200</v>
      </c>
      <c r="C25" s="176">
        <v>210</v>
      </c>
      <c r="D25" s="176">
        <v>205</v>
      </c>
      <c r="E25" s="176">
        <v>32</v>
      </c>
      <c r="F25" s="165">
        <v>280</v>
      </c>
      <c r="G25" s="176"/>
      <c r="H25" s="165">
        <f t="shared" si="0"/>
        <v>330.8</v>
      </c>
      <c r="I25" s="176">
        <v>19319.497021892315</v>
      </c>
      <c r="J25" s="181">
        <f t="shared" si="1"/>
        <v>58.402348917449558</v>
      </c>
      <c r="K25" s="175">
        <v>46</v>
      </c>
      <c r="L25" s="177">
        <v>1934.7064827440354</v>
      </c>
      <c r="M25" s="178">
        <f t="shared" si="2"/>
        <v>42.058836581392072</v>
      </c>
      <c r="N25" s="164">
        <v>25</v>
      </c>
      <c r="O25" s="177">
        <v>1313.6351965904514</v>
      </c>
      <c r="P25" s="178">
        <f t="shared" si="3"/>
        <v>52.54540786361806</v>
      </c>
      <c r="Q25" s="175">
        <v>75</v>
      </c>
      <c r="R25" s="176">
        <v>1477.2738801049022</v>
      </c>
      <c r="S25" s="178">
        <f t="shared" si="4"/>
        <v>19.696985068065363</v>
      </c>
      <c r="T25" s="175"/>
      <c r="U25" s="176"/>
      <c r="V25" s="177"/>
      <c r="W25" s="177" t="e">
        <f t="shared" si="7"/>
        <v>#DIV/0!</v>
      </c>
      <c r="X25" s="176">
        <v>13</v>
      </c>
      <c r="Y25" s="176">
        <v>88.2</v>
      </c>
      <c r="Z25" s="197">
        <f t="shared" si="5"/>
        <v>6.7846153846153845</v>
      </c>
      <c r="AA25" s="175"/>
      <c r="AB25" s="176"/>
      <c r="AC25" s="176"/>
      <c r="AD25" s="176"/>
      <c r="AE25" s="176"/>
      <c r="AF25" s="179"/>
      <c r="AG25" s="201">
        <v>94</v>
      </c>
      <c r="AH25" s="104">
        <v>1053.1699237745725</v>
      </c>
      <c r="AI25" s="172">
        <f t="shared" si="8"/>
        <v>11.203935359303962</v>
      </c>
      <c r="AJ25" s="199">
        <f t="shared" si="6"/>
        <v>25186.48250510628</v>
      </c>
    </row>
    <row r="26" spans="1:36" x14ac:dyDescent="0.25">
      <c r="A26" s="163">
        <v>45737</v>
      </c>
      <c r="B26" s="175">
        <v>85</v>
      </c>
      <c r="C26" s="176">
        <v>95</v>
      </c>
      <c r="D26" s="176">
        <v>85</v>
      </c>
      <c r="E26" s="176">
        <v>25</v>
      </c>
      <c r="F26" s="165">
        <v>280</v>
      </c>
      <c r="G26" s="176"/>
      <c r="H26" s="165">
        <f t="shared" si="0"/>
        <v>211</v>
      </c>
      <c r="I26" s="176">
        <v>20400.693359932011</v>
      </c>
      <c r="J26" s="181">
        <f t="shared" si="1"/>
        <v>96.685750521004792</v>
      </c>
      <c r="K26" s="175">
        <v>46</v>
      </c>
      <c r="L26" s="177">
        <v>2867.5115806173981</v>
      </c>
      <c r="M26" s="178">
        <f t="shared" si="2"/>
        <v>62.337208274291264</v>
      </c>
      <c r="N26" s="164">
        <v>25</v>
      </c>
      <c r="O26" s="177">
        <v>1634.1733867010184</v>
      </c>
      <c r="P26" s="178">
        <f t="shared" si="3"/>
        <v>65.366935468040737</v>
      </c>
      <c r="Q26" s="175">
        <v>75</v>
      </c>
      <c r="R26" s="176">
        <v>4999.2084320415397</v>
      </c>
      <c r="S26" s="178">
        <f t="shared" si="4"/>
        <v>66.656112427220535</v>
      </c>
      <c r="T26" s="175"/>
      <c r="U26" s="176"/>
      <c r="V26" s="177"/>
      <c r="W26" s="177" t="e">
        <f t="shared" si="7"/>
        <v>#DIV/0!</v>
      </c>
      <c r="X26" s="176">
        <v>13</v>
      </c>
      <c r="Y26" s="176">
        <v>89.67</v>
      </c>
      <c r="Z26" s="197">
        <f t="shared" si="5"/>
        <v>6.8976923076923082</v>
      </c>
      <c r="AA26" s="175"/>
      <c r="AB26" s="176"/>
      <c r="AC26" s="176"/>
      <c r="AD26" s="176"/>
      <c r="AE26" s="176"/>
      <c r="AF26" s="179"/>
      <c r="AG26" s="201">
        <v>94</v>
      </c>
      <c r="AH26" s="104">
        <v>1115.448811554038</v>
      </c>
      <c r="AI26" s="172">
        <f t="shared" si="8"/>
        <v>11.866476718659978</v>
      </c>
      <c r="AJ26" s="199">
        <f t="shared" si="6"/>
        <v>31106.705570846003</v>
      </c>
    </row>
    <row r="27" spans="1:36" x14ac:dyDescent="0.25">
      <c r="A27" s="163">
        <v>45738</v>
      </c>
      <c r="B27" s="175">
        <v>85</v>
      </c>
      <c r="C27" s="176">
        <v>95</v>
      </c>
      <c r="D27" s="176">
        <v>85</v>
      </c>
      <c r="E27" s="176">
        <v>23</v>
      </c>
      <c r="F27" s="165">
        <v>280</v>
      </c>
      <c r="G27" s="176"/>
      <c r="H27" s="165">
        <f t="shared" si="0"/>
        <v>210.20000000000002</v>
      </c>
      <c r="I27" s="176">
        <v>15130.021208106507</v>
      </c>
      <c r="J27" s="181">
        <f t="shared" si="1"/>
        <v>71.979168449602795</v>
      </c>
      <c r="K27" s="175">
        <v>45</v>
      </c>
      <c r="L27" s="177">
        <v>2005.2573300907702</v>
      </c>
      <c r="M27" s="178">
        <f t="shared" si="2"/>
        <v>44.561274002017115</v>
      </c>
      <c r="N27" s="164">
        <v>25</v>
      </c>
      <c r="O27" s="177">
        <v>1240.2077121078178</v>
      </c>
      <c r="P27" s="178">
        <f t="shared" si="3"/>
        <v>49.608308484312708</v>
      </c>
      <c r="Q27" s="175">
        <v>75</v>
      </c>
      <c r="R27" s="176">
        <v>4371.7685453640079</v>
      </c>
      <c r="S27" s="178">
        <f t="shared" si="4"/>
        <v>58.290247271520109</v>
      </c>
      <c r="T27" s="175"/>
      <c r="U27" s="176"/>
      <c r="V27" s="177"/>
      <c r="W27" s="177" t="e">
        <f t="shared" si="7"/>
        <v>#DIV/0!</v>
      </c>
      <c r="X27" s="176">
        <v>4</v>
      </c>
      <c r="Y27" s="176">
        <v>26.46</v>
      </c>
      <c r="Z27" s="197">
        <f t="shared" si="5"/>
        <v>6.6150000000000002</v>
      </c>
      <c r="AA27" s="175"/>
      <c r="AB27" s="176"/>
      <c r="AC27" s="176"/>
      <c r="AD27" s="176"/>
      <c r="AE27" s="176"/>
      <c r="AF27" s="179"/>
      <c r="AG27" s="201">
        <v>94</v>
      </c>
      <c r="AH27" s="104">
        <v>1049.6985548134007</v>
      </c>
      <c r="AI27" s="172">
        <f t="shared" si="8"/>
        <v>11.167005902270221</v>
      </c>
      <c r="AJ27" s="199">
        <f t="shared" si="6"/>
        <v>23823.413350482504</v>
      </c>
    </row>
    <row r="28" spans="1:36" x14ac:dyDescent="0.25">
      <c r="A28" s="163">
        <v>45739</v>
      </c>
      <c r="B28" s="175">
        <v>200</v>
      </c>
      <c r="C28" s="176">
        <v>210</v>
      </c>
      <c r="D28" s="176">
        <v>205</v>
      </c>
      <c r="E28" s="176">
        <v>30</v>
      </c>
      <c r="F28" s="165">
        <v>280</v>
      </c>
      <c r="G28" s="176"/>
      <c r="H28" s="165">
        <f t="shared" si="0"/>
        <v>330</v>
      </c>
      <c r="I28" s="176">
        <v>18582.135957416656</v>
      </c>
      <c r="J28" s="181">
        <f t="shared" si="1"/>
        <v>56.309502901262597</v>
      </c>
      <c r="K28" s="175">
        <v>46</v>
      </c>
      <c r="L28" s="177">
        <v>3062.4844296974325</v>
      </c>
      <c r="M28" s="178">
        <f t="shared" si="2"/>
        <v>66.575748471683312</v>
      </c>
      <c r="N28" s="164">
        <v>25</v>
      </c>
      <c r="O28" s="177">
        <v>1239.0600770562421</v>
      </c>
      <c r="P28" s="178">
        <f t="shared" si="3"/>
        <v>49.562403082249688</v>
      </c>
      <c r="Q28" s="175">
        <v>75</v>
      </c>
      <c r="R28" s="176">
        <v>3047.9176042981221</v>
      </c>
      <c r="S28" s="178">
        <f t="shared" si="4"/>
        <v>40.638901390641628</v>
      </c>
      <c r="T28" s="175"/>
      <c r="U28" s="176">
        <v>130</v>
      </c>
      <c r="V28" s="177">
        <v>1181.5</v>
      </c>
      <c r="W28" s="177">
        <f t="shared" si="7"/>
        <v>9.088461538461539</v>
      </c>
      <c r="X28" s="176">
        <v>10</v>
      </c>
      <c r="Y28" s="176">
        <v>70.56</v>
      </c>
      <c r="Z28" s="197">
        <f t="shared" si="5"/>
        <v>7.056</v>
      </c>
      <c r="AA28" s="175"/>
      <c r="AB28" s="176"/>
      <c r="AC28" s="176"/>
      <c r="AD28" s="176"/>
      <c r="AE28" s="176"/>
      <c r="AF28" s="179"/>
      <c r="AG28" s="201">
        <v>94</v>
      </c>
      <c r="AH28" s="104">
        <v>1114.4196783933421</v>
      </c>
      <c r="AI28" s="172">
        <f t="shared" si="8"/>
        <v>11.855528493546192</v>
      </c>
      <c r="AJ28" s="199">
        <f t="shared" si="6"/>
        <v>28298.077746861796</v>
      </c>
    </row>
    <row r="29" spans="1:36" x14ac:dyDescent="0.25">
      <c r="A29" s="163">
        <v>45740</v>
      </c>
      <c r="B29" s="175">
        <v>200</v>
      </c>
      <c r="C29" s="176">
        <v>210</v>
      </c>
      <c r="D29" s="176">
        <v>205</v>
      </c>
      <c r="E29" s="176">
        <v>25</v>
      </c>
      <c r="F29" s="165">
        <v>280</v>
      </c>
      <c r="G29" s="176"/>
      <c r="H29" s="165">
        <f t="shared" si="0"/>
        <v>328</v>
      </c>
      <c r="I29" s="176">
        <v>21953.569513242826</v>
      </c>
      <c r="J29" s="181">
        <f t="shared" si="1"/>
        <v>66.931614369642759</v>
      </c>
      <c r="K29" s="175">
        <v>47</v>
      </c>
      <c r="L29" s="177">
        <v>3166.6653511290533</v>
      </c>
      <c r="M29" s="178">
        <f t="shared" si="2"/>
        <v>67.375858534660708</v>
      </c>
      <c r="N29" s="164">
        <v>25</v>
      </c>
      <c r="O29" s="177">
        <v>1045.6486439494918</v>
      </c>
      <c r="P29" s="178">
        <f t="shared" si="3"/>
        <v>41.825945757979667</v>
      </c>
      <c r="Q29" s="175">
        <v>75</v>
      </c>
      <c r="R29" s="176">
        <v>3412.3719776562452</v>
      </c>
      <c r="S29" s="178">
        <f t="shared" si="4"/>
        <v>45.498293035416602</v>
      </c>
      <c r="T29" s="175"/>
      <c r="U29" s="176"/>
      <c r="V29" s="177"/>
      <c r="W29" s="177" t="e">
        <f t="shared" si="7"/>
        <v>#DIV/0!</v>
      </c>
      <c r="X29" s="176">
        <v>14</v>
      </c>
      <c r="Y29" s="176">
        <v>93.63</v>
      </c>
      <c r="Z29" s="197">
        <f t="shared" si="5"/>
        <v>6.6878571428571423</v>
      </c>
      <c r="AA29" s="175"/>
      <c r="AB29" s="176"/>
      <c r="AC29" s="176"/>
      <c r="AD29" s="176"/>
      <c r="AE29" s="176"/>
      <c r="AF29" s="179"/>
      <c r="AG29" s="201">
        <v>94</v>
      </c>
      <c r="AH29" s="104">
        <v>1100.1536878167226</v>
      </c>
      <c r="AI29" s="172">
        <f t="shared" si="8"/>
        <v>11.703762636348113</v>
      </c>
      <c r="AJ29" s="199">
        <f t="shared" si="6"/>
        <v>30772.039173794343</v>
      </c>
    </row>
    <row r="30" spans="1:36" x14ac:dyDescent="0.25">
      <c r="A30" s="163">
        <v>45741</v>
      </c>
      <c r="B30" s="175">
        <v>200</v>
      </c>
      <c r="C30" s="176">
        <v>210</v>
      </c>
      <c r="D30" s="176">
        <v>208</v>
      </c>
      <c r="E30" s="176">
        <v>36</v>
      </c>
      <c r="F30" s="165">
        <v>280</v>
      </c>
      <c r="G30" s="176"/>
      <c r="H30" s="165">
        <f t="shared" si="0"/>
        <v>333.6</v>
      </c>
      <c r="I30" s="176">
        <v>19578.021903073517</v>
      </c>
      <c r="J30" s="181">
        <f t="shared" si="1"/>
        <v>58.687116016407423</v>
      </c>
      <c r="K30" s="175">
        <v>47</v>
      </c>
      <c r="L30" s="177">
        <v>1989.647242777236</v>
      </c>
      <c r="M30" s="178">
        <f t="shared" si="2"/>
        <v>42.332920059090128</v>
      </c>
      <c r="N30" s="164">
        <v>25</v>
      </c>
      <c r="O30" s="177">
        <v>1552.788400666577</v>
      </c>
      <c r="P30" s="178">
        <f t="shared" si="3"/>
        <v>62.111536026663082</v>
      </c>
      <c r="Q30" s="175">
        <v>75</v>
      </c>
      <c r="R30" s="176">
        <v>4374.5485129601784</v>
      </c>
      <c r="S30" s="178">
        <f t="shared" si="4"/>
        <v>58.32731350613571</v>
      </c>
      <c r="T30" s="175"/>
      <c r="U30" s="176"/>
      <c r="V30" s="177"/>
      <c r="W30" s="177" t="e">
        <f t="shared" si="7"/>
        <v>#DIV/0!</v>
      </c>
      <c r="X30" s="176">
        <v>8</v>
      </c>
      <c r="Y30" s="176">
        <v>49.93</v>
      </c>
      <c r="Z30" s="197">
        <f t="shared" si="5"/>
        <v>6.24125</v>
      </c>
      <c r="AA30" s="175"/>
      <c r="AB30" s="176"/>
      <c r="AC30" s="176"/>
      <c r="AD30" s="176"/>
      <c r="AE30" s="176"/>
      <c r="AF30" s="179"/>
      <c r="AG30" s="201">
        <v>94</v>
      </c>
      <c r="AH30" s="104">
        <v>1100.133968380693</v>
      </c>
      <c r="AI30" s="172">
        <f t="shared" si="8"/>
        <v>11.703552855113754</v>
      </c>
      <c r="AJ30" s="199">
        <f t="shared" si="6"/>
        <v>28645.070027858201</v>
      </c>
    </row>
    <row r="31" spans="1:36" x14ac:dyDescent="0.25">
      <c r="A31" s="163">
        <v>45742</v>
      </c>
      <c r="B31" s="175">
        <v>200</v>
      </c>
      <c r="C31" s="176">
        <v>210</v>
      </c>
      <c r="D31" s="176">
        <v>205</v>
      </c>
      <c r="E31" s="176">
        <v>35</v>
      </c>
      <c r="F31" s="165">
        <v>280</v>
      </c>
      <c r="G31" s="176"/>
      <c r="H31" s="165">
        <f t="shared" si="0"/>
        <v>332</v>
      </c>
      <c r="I31" s="176">
        <v>17322.819640305759</v>
      </c>
      <c r="J31" s="181">
        <f t="shared" si="1"/>
        <v>52.177167591282405</v>
      </c>
      <c r="K31" s="175">
        <v>48</v>
      </c>
      <c r="L31" s="177">
        <v>4118.6994709204155</v>
      </c>
      <c r="M31" s="178">
        <f t="shared" si="2"/>
        <v>85.806238977508656</v>
      </c>
      <c r="N31" s="175">
        <v>25</v>
      </c>
      <c r="O31" s="177">
        <v>1402.485395635839</v>
      </c>
      <c r="P31" s="178">
        <f t="shared" si="3"/>
        <v>56.09941582543356</v>
      </c>
      <c r="Q31" s="175">
        <v>75</v>
      </c>
      <c r="R31" s="176">
        <v>4374.5485129601784</v>
      </c>
      <c r="S31" s="178">
        <f t="shared" si="4"/>
        <v>58.32731350613571</v>
      </c>
      <c r="T31" s="175"/>
      <c r="U31" s="176"/>
      <c r="V31" s="176"/>
      <c r="W31" s="177" t="e">
        <f t="shared" si="7"/>
        <v>#DIV/0!</v>
      </c>
      <c r="X31" s="176">
        <v>6</v>
      </c>
      <c r="Y31" s="176">
        <v>37.450000000000003</v>
      </c>
      <c r="Z31" s="197">
        <f t="shared" si="5"/>
        <v>6.2416666666666671</v>
      </c>
      <c r="AA31" s="175"/>
      <c r="AB31" s="176"/>
      <c r="AC31" s="176"/>
      <c r="AD31" s="176"/>
      <c r="AE31" s="176"/>
      <c r="AF31" s="179"/>
      <c r="AG31" s="201">
        <v>94</v>
      </c>
      <c r="AH31" s="104">
        <v>1081.7836145668696</v>
      </c>
      <c r="AI31" s="172">
        <f t="shared" si="8"/>
        <v>11.508336325179464</v>
      </c>
      <c r="AJ31" s="199">
        <f t="shared" si="6"/>
        <v>28337.78663438906</v>
      </c>
    </row>
    <row r="32" spans="1:36" x14ac:dyDescent="0.25">
      <c r="A32" s="163">
        <v>45743</v>
      </c>
      <c r="B32" s="175">
        <v>200</v>
      </c>
      <c r="C32" s="176">
        <v>210</v>
      </c>
      <c r="D32" s="176">
        <v>205</v>
      </c>
      <c r="E32" s="176">
        <v>31</v>
      </c>
      <c r="F32" s="165">
        <v>280</v>
      </c>
      <c r="G32" s="176"/>
      <c r="H32" s="165">
        <f>B32*0.2+SUM(C32:F32)*0.4</f>
        <v>330.40000000000003</v>
      </c>
      <c r="I32" s="176">
        <v>18578.502150809691</v>
      </c>
      <c r="J32" s="181">
        <f t="shared" si="1"/>
        <v>56.230333386227869</v>
      </c>
      <c r="K32" s="175">
        <v>46</v>
      </c>
      <c r="L32" s="177">
        <v>3107.4827860361165</v>
      </c>
      <c r="M32" s="178">
        <f t="shared" si="2"/>
        <v>67.553973609480792</v>
      </c>
      <c r="N32" s="175">
        <v>25</v>
      </c>
      <c r="O32" s="177">
        <v>1888.5264992953687</v>
      </c>
      <c r="P32" s="178">
        <f t="shared" si="3"/>
        <v>75.541059971814747</v>
      </c>
      <c r="Q32" s="175">
        <v>75</v>
      </c>
      <c r="R32" s="176">
        <v>4374.5485129601784</v>
      </c>
      <c r="S32" s="178">
        <f t="shared" si="4"/>
        <v>58.32731350613571</v>
      </c>
      <c r="T32" s="175"/>
      <c r="U32" s="176"/>
      <c r="V32" s="176"/>
      <c r="W32" s="177" t="e">
        <f t="shared" si="7"/>
        <v>#DIV/0!</v>
      </c>
      <c r="X32" s="176"/>
      <c r="Y32" s="176"/>
      <c r="Z32" s="197" t="e">
        <f t="shared" si="5"/>
        <v>#DIV/0!</v>
      </c>
      <c r="AA32" s="175"/>
      <c r="AB32" s="176"/>
      <c r="AC32" s="176"/>
      <c r="AD32" s="176"/>
      <c r="AE32" s="176"/>
      <c r="AF32" s="179"/>
      <c r="AG32" s="201">
        <v>94</v>
      </c>
      <c r="AH32" s="104">
        <v>1105.4963414233573</v>
      </c>
      <c r="AI32" s="172">
        <f t="shared" si="8"/>
        <v>11.760599376844226</v>
      </c>
      <c r="AJ32" s="199">
        <f t="shared" si="6"/>
        <v>29054.556290524713</v>
      </c>
    </row>
    <row r="33" spans="1:36" x14ac:dyDescent="0.25">
      <c r="A33" s="163">
        <v>45744</v>
      </c>
      <c r="B33" s="184">
        <v>85</v>
      </c>
      <c r="C33" s="185">
        <v>95</v>
      </c>
      <c r="D33" s="185">
        <v>85</v>
      </c>
      <c r="E33" s="185">
        <v>32</v>
      </c>
      <c r="F33" s="165">
        <v>280</v>
      </c>
      <c r="G33" s="185"/>
      <c r="H33" s="165">
        <f>B33*0.2+SUM(C33:F33)*0.4</f>
        <v>213.8</v>
      </c>
      <c r="I33" s="185">
        <v>16221.328480133006</v>
      </c>
      <c r="J33" s="181">
        <f t="shared" si="1"/>
        <v>75.871508326159983</v>
      </c>
      <c r="K33" s="184">
        <v>46</v>
      </c>
      <c r="L33" s="187">
        <v>2810.3463417589023</v>
      </c>
      <c r="M33" s="178">
        <f t="shared" si="2"/>
        <v>61.09448569041092</v>
      </c>
      <c r="N33" s="175">
        <v>25</v>
      </c>
      <c r="O33" s="187">
        <v>1409.7738226533434</v>
      </c>
      <c r="P33" s="178">
        <f t="shared" si="3"/>
        <v>56.390952906133734</v>
      </c>
      <c r="Q33" s="175">
        <v>75</v>
      </c>
      <c r="R33" s="185">
        <v>3222.4610319909257</v>
      </c>
      <c r="S33" s="178">
        <f t="shared" si="4"/>
        <v>42.966147093212342</v>
      </c>
      <c r="T33" s="184"/>
      <c r="U33" s="185"/>
      <c r="V33" s="185"/>
      <c r="W33" s="177" t="e">
        <f t="shared" si="7"/>
        <v>#DIV/0!</v>
      </c>
      <c r="X33" s="185"/>
      <c r="Y33" s="185"/>
      <c r="Z33" s="197" t="e">
        <f t="shared" si="5"/>
        <v>#DIV/0!</v>
      </c>
      <c r="AA33" s="184"/>
      <c r="AB33" s="185"/>
      <c r="AC33" s="185"/>
      <c r="AD33" s="185"/>
      <c r="AE33" s="185"/>
      <c r="AF33" s="188"/>
      <c r="AG33" s="201">
        <v>94</v>
      </c>
      <c r="AH33" s="190">
        <v>1067.2457894517058</v>
      </c>
      <c r="AI33" s="172">
        <f t="shared" si="8"/>
        <v>11.353678611188361</v>
      </c>
      <c r="AJ33" s="199">
        <f t="shared" si="6"/>
        <v>24731.155465987886</v>
      </c>
    </row>
    <row r="34" spans="1:36" x14ac:dyDescent="0.25">
      <c r="A34" s="163">
        <v>45745</v>
      </c>
      <c r="B34" s="184">
        <v>85</v>
      </c>
      <c r="C34" s="185">
        <v>95</v>
      </c>
      <c r="D34" s="185">
        <v>85</v>
      </c>
      <c r="E34" s="185">
        <v>25</v>
      </c>
      <c r="F34" s="165">
        <v>280</v>
      </c>
      <c r="G34" s="185"/>
      <c r="H34" s="165">
        <f>B34*0.2+SUM(C34:F34)*0.4</f>
        <v>211</v>
      </c>
      <c r="I34" s="185">
        <v>16327.598488419017</v>
      </c>
      <c r="J34" s="181">
        <f t="shared" si="1"/>
        <v>77.381983357436098</v>
      </c>
      <c r="K34" s="184">
        <v>45</v>
      </c>
      <c r="L34" s="187">
        <v>1405.5215278377805</v>
      </c>
      <c r="M34" s="178">
        <f t="shared" si="2"/>
        <v>31.233811729728455</v>
      </c>
      <c r="N34" s="175">
        <v>25</v>
      </c>
      <c r="O34" s="187">
        <v>1317.1197590940621</v>
      </c>
      <c r="P34" s="178">
        <f t="shared" si="3"/>
        <v>52.684790363762488</v>
      </c>
      <c r="Q34" s="175">
        <v>75</v>
      </c>
      <c r="R34" s="185">
        <v>4631.9956968464994</v>
      </c>
      <c r="S34" s="178">
        <f t="shared" si="4"/>
        <v>61.759942624619995</v>
      </c>
      <c r="T34" s="184"/>
      <c r="U34" s="185"/>
      <c r="V34" s="185"/>
      <c r="W34" s="177" t="e">
        <f t="shared" si="7"/>
        <v>#DIV/0!</v>
      </c>
      <c r="X34" s="185"/>
      <c r="Y34" s="185"/>
      <c r="Z34" s="197" t="e">
        <f t="shared" si="5"/>
        <v>#DIV/0!</v>
      </c>
      <c r="AA34" s="184"/>
      <c r="AB34" s="185"/>
      <c r="AC34" s="185"/>
      <c r="AD34" s="185"/>
      <c r="AE34" s="185"/>
      <c r="AF34" s="188"/>
      <c r="AG34" s="201">
        <v>94</v>
      </c>
      <c r="AH34" s="190">
        <v>1129.6488130130174</v>
      </c>
      <c r="AI34" s="172">
        <f t="shared" si="8"/>
        <v>12.01754056396827</v>
      </c>
      <c r="AJ34" s="199">
        <f t="shared" si="6"/>
        <v>24811.884285210377</v>
      </c>
    </row>
    <row r="35" spans="1:36" x14ac:dyDescent="0.25">
      <c r="A35" s="163">
        <v>45746</v>
      </c>
      <c r="B35" s="184">
        <v>200</v>
      </c>
      <c r="C35" s="185">
        <v>210</v>
      </c>
      <c r="D35" s="185">
        <v>205</v>
      </c>
      <c r="E35" s="185">
        <v>20</v>
      </c>
      <c r="F35" s="165">
        <v>280</v>
      </c>
      <c r="G35" s="185"/>
      <c r="H35" s="165">
        <f>B35*0.2+SUM(C35:F35)*0.4</f>
        <v>326</v>
      </c>
      <c r="I35" s="185">
        <v>17261.814130393774</v>
      </c>
      <c r="J35" s="181">
        <f t="shared" si="1"/>
        <v>52.950350093232437</v>
      </c>
      <c r="K35" s="184">
        <v>46</v>
      </c>
      <c r="L35" s="187">
        <v>2681.6672541445046</v>
      </c>
      <c r="M35" s="178">
        <f t="shared" si="2"/>
        <v>58.297114220532706</v>
      </c>
      <c r="N35" s="175">
        <v>25</v>
      </c>
      <c r="O35" s="187">
        <v>1452.0133919847672</v>
      </c>
      <c r="P35" s="178">
        <f t="shared" si="3"/>
        <v>58.080535679390685</v>
      </c>
      <c r="Q35" s="175">
        <v>75</v>
      </c>
      <c r="R35" s="185">
        <v>3921.335026074561</v>
      </c>
      <c r="S35" s="178">
        <f t="shared" si="4"/>
        <v>52.284467014327483</v>
      </c>
      <c r="T35" s="184"/>
      <c r="U35" s="185"/>
      <c r="V35" s="185"/>
      <c r="W35" s="177" t="e">
        <f t="shared" si="7"/>
        <v>#DIV/0!</v>
      </c>
      <c r="X35" s="185"/>
      <c r="Y35" s="185"/>
      <c r="Z35" s="197" t="e">
        <f t="shared" si="5"/>
        <v>#DIV/0!</v>
      </c>
      <c r="AA35" s="184"/>
      <c r="AB35" s="185"/>
      <c r="AC35" s="185"/>
      <c r="AD35" s="185"/>
      <c r="AE35" s="185"/>
      <c r="AF35" s="188"/>
      <c r="AG35" s="201">
        <v>94</v>
      </c>
      <c r="AH35" s="190">
        <v>1041.3698652808428</v>
      </c>
      <c r="AI35" s="172">
        <f t="shared" si="8"/>
        <v>11.078402822136626</v>
      </c>
      <c r="AJ35" s="199">
        <f t="shared" si="6"/>
        <v>26358.199667878449</v>
      </c>
    </row>
    <row r="36" spans="1:36" ht="15.75" thickBot="1" x14ac:dyDescent="0.3">
      <c r="A36" s="163">
        <v>45747</v>
      </c>
      <c r="B36" s="184">
        <v>200</v>
      </c>
      <c r="C36" s="185">
        <v>210</v>
      </c>
      <c r="D36" s="185">
        <v>205</v>
      </c>
      <c r="E36" s="185">
        <v>27</v>
      </c>
      <c r="F36" s="165">
        <v>280</v>
      </c>
      <c r="G36" s="185"/>
      <c r="H36" s="165">
        <f t="shared" si="0"/>
        <v>328.8</v>
      </c>
      <c r="I36" s="185">
        <v>28363.678135964801</v>
      </c>
      <c r="J36" s="186">
        <f t="shared" si="1"/>
        <v>86.264227907435526</v>
      </c>
      <c r="K36" s="184">
        <v>47</v>
      </c>
      <c r="L36" s="187">
        <v>2870.4050036998497</v>
      </c>
      <c r="M36" s="178">
        <f t="shared" si="2"/>
        <v>61.072446887230846</v>
      </c>
      <c r="N36" s="175">
        <v>25</v>
      </c>
      <c r="O36" s="187">
        <v>1372.6761970442217</v>
      </c>
      <c r="P36" s="178">
        <f t="shared" si="3"/>
        <v>54.907047881768868</v>
      </c>
      <c r="Q36" s="175">
        <v>75</v>
      </c>
      <c r="R36" s="185">
        <v>4070.6774336405815</v>
      </c>
      <c r="S36" s="178">
        <f t="shared" si="4"/>
        <v>54.27569911520775</v>
      </c>
      <c r="T36" s="184"/>
      <c r="U36" s="185"/>
      <c r="V36" s="185"/>
      <c r="W36" s="177" t="e">
        <f t="shared" si="7"/>
        <v>#DIV/0!</v>
      </c>
      <c r="X36" s="185"/>
      <c r="Y36" s="185"/>
      <c r="Z36" s="197" t="e">
        <f t="shared" si="5"/>
        <v>#DIV/0!</v>
      </c>
      <c r="AA36" s="184"/>
      <c r="AB36" s="185"/>
      <c r="AC36" s="185"/>
      <c r="AD36" s="185"/>
      <c r="AE36" s="185"/>
      <c r="AF36" s="188"/>
      <c r="AG36" s="201">
        <v>94</v>
      </c>
      <c r="AH36" s="190">
        <v>1061.2177307344598</v>
      </c>
      <c r="AI36" s="172">
        <f>AH36/AG36</f>
        <v>11.289550326962338</v>
      </c>
      <c r="AJ36" s="199">
        <f t="shared" si="6"/>
        <v>37738.654501083911</v>
      </c>
    </row>
    <row r="37" spans="1:36" s="39" customFormat="1" ht="26.25" thickBot="1" x14ac:dyDescent="0.3">
      <c r="A37" s="202" t="s">
        <v>77</v>
      </c>
      <c r="B37" s="195">
        <f t="shared" ref="B37:I37" si="9">SUM(B6:B36)</f>
        <v>5165</v>
      </c>
      <c r="C37" s="195">
        <f t="shared" si="9"/>
        <v>5475</v>
      </c>
      <c r="D37" s="195">
        <f t="shared" si="9"/>
        <v>5627</v>
      </c>
      <c r="E37" s="195">
        <f t="shared" si="9"/>
        <v>763</v>
      </c>
      <c r="F37" s="195">
        <f t="shared" si="9"/>
        <v>8680</v>
      </c>
      <c r="G37" s="195">
        <f t="shared" si="9"/>
        <v>0</v>
      </c>
      <c r="H37" s="195">
        <f t="shared" si="9"/>
        <v>9251</v>
      </c>
      <c r="I37" s="195">
        <f t="shared" si="9"/>
        <v>620505.36567054666</v>
      </c>
      <c r="J37" s="195">
        <f>I37/H37</f>
        <v>67.074409866019522</v>
      </c>
      <c r="K37" s="195">
        <f>SUM(K6:K36)</f>
        <v>1444</v>
      </c>
      <c r="L37" s="195">
        <f>SUM(L6:L36)</f>
        <v>79314.919472798603</v>
      </c>
      <c r="M37" s="195">
        <f>L37/K37</f>
        <v>54.927229551799584</v>
      </c>
      <c r="N37" s="195">
        <f>SUM(N6:N36)</f>
        <v>775</v>
      </c>
      <c r="O37" s="195">
        <f>SUM(O6:O36)</f>
        <v>44214.809997545402</v>
      </c>
      <c r="P37" s="195">
        <f>O37/N37</f>
        <v>57.051367738768263</v>
      </c>
      <c r="Q37" s="195">
        <f>SUM(Q6:Q36)</f>
        <v>2325</v>
      </c>
      <c r="R37" s="195">
        <f>SUM(R6:R36)</f>
        <v>123437.82540074241</v>
      </c>
      <c r="S37" s="195">
        <f>R37/Q37</f>
        <v>53.09153780677093</v>
      </c>
      <c r="T37" s="195">
        <f>SUM(T6:T36)</f>
        <v>0</v>
      </c>
      <c r="U37" s="195">
        <f>SUM(U6:U36)</f>
        <v>544</v>
      </c>
      <c r="V37" s="195">
        <f>SUM(V6:V36)</f>
        <v>5149.0648915033835</v>
      </c>
      <c r="W37" s="195"/>
      <c r="X37" s="195">
        <f t="shared" ref="X37:AH37" si="10">SUM(X6:X36)</f>
        <v>493</v>
      </c>
      <c r="Y37" s="195">
        <f t="shared" si="10"/>
        <v>3373.9799999999991</v>
      </c>
      <c r="Z37" s="195" t="e">
        <f t="shared" si="10"/>
        <v>#DIV/0!</v>
      </c>
      <c r="AA37" s="195">
        <f t="shared" si="10"/>
        <v>0</v>
      </c>
      <c r="AB37" s="195">
        <f t="shared" si="10"/>
        <v>0</v>
      </c>
      <c r="AC37" s="195">
        <f t="shared" si="10"/>
        <v>0</v>
      </c>
      <c r="AD37" s="195">
        <f t="shared" si="10"/>
        <v>0</v>
      </c>
      <c r="AE37" s="195">
        <f t="shared" si="10"/>
        <v>0</v>
      </c>
      <c r="AF37" s="195" t="e">
        <f t="shared" si="10"/>
        <v>#DIV/0!</v>
      </c>
      <c r="AG37" s="195">
        <f t="shared" si="10"/>
        <v>2914</v>
      </c>
      <c r="AH37" s="195">
        <f t="shared" si="10"/>
        <v>33315.518620969146</v>
      </c>
      <c r="AI37" s="195">
        <f>AH37/AG37</f>
        <v>11.432916479399157</v>
      </c>
      <c r="AJ37" s="203">
        <f>SUM(AJ6:AJ36)</f>
        <v>909311.48405410582</v>
      </c>
    </row>
  </sheetData>
  <sheetProtection algorithmName="SHA-512" hashValue="TaQbCt4suKyC+sJN+zPVFbkUVFbRE1a/Wmke6w+jB5c8G8vGhZCILHobaOQw4bkpbGGxsn5VPeGJLJspkYTS8g==" saltValue="mSFmRq0K0k3nqM6eBlf3yw==" spinCount="100000" sheet="1" scenarios="1" sort="0" autoFilter="0"/>
  <mergeCells count="10">
    <mergeCell ref="A1:AJ1"/>
    <mergeCell ref="A2:AJ2"/>
    <mergeCell ref="A3:AJ3"/>
    <mergeCell ref="B4:J4"/>
    <mergeCell ref="K4:M4"/>
    <mergeCell ref="N4:P4"/>
    <mergeCell ref="Q4:S4"/>
    <mergeCell ref="T4:Z4"/>
    <mergeCell ref="AA4:AF4"/>
    <mergeCell ref="AG4:A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0C67-ACDE-4EEA-B2BA-FB2701E14637}">
  <dimension ref="A1:AJ36"/>
  <sheetViews>
    <sheetView zoomScale="80" zoomScaleNormal="80" workbookViewId="0">
      <selection activeCell="N40" sqref="N40"/>
    </sheetView>
  </sheetViews>
  <sheetFormatPr defaultRowHeight="15" x14ac:dyDescent="0.25"/>
  <cols>
    <col min="1" max="1" width="11.140625" customWidth="1"/>
    <col min="2" max="6" width="10" bestFit="1" customWidth="1"/>
    <col min="7" max="7" width="8.42578125" bestFit="1" customWidth="1"/>
    <col min="8" max="8" width="10" bestFit="1" customWidth="1"/>
    <col min="9" max="9" width="13" bestFit="1" customWidth="1"/>
    <col min="10" max="11" width="10.7109375" customWidth="1"/>
    <col min="12" max="12" width="11.28515625" bestFit="1" customWidth="1"/>
    <col min="13" max="13" width="13" bestFit="1" customWidth="1"/>
    <col min="14" max="14" width="10.7109375" customWidth="1"/>
    <col min="15" max="15" width="11.28515625" bestFit="1" customWidth="1"/>
    <col min="16" max="16" width="13" bestFit="1" customWidth="1"/>
    <col min="17" max="17" width="10.7109375" customWidth="1"/>
    <col min="18" max="18" width="13.28515625" bestFit="1" customWidth="1"/>
    <col min="19" max="19" width="10.7109375" customWidth="1"/>
    <col min="20" max="21" width="9.5703125" customWidth="1"/>
    <col min="22" max="22" width="11.42578125" customWidth="1"/>
    <col min="23" max="23" width="8.42578125" bestFit="1" customWidth="1"/>
    <col min="24" max="24" width="10" bestFit="1" customWidth="1"/>
    <col min="25" max="25" width="13.28515625" bestFit="1" customWidth="1"/>
    <col min="26" max="26" width="8.85546875" style="39" bestFit="1" customWidth="1"/>
    <col min="27" max="27" width="2.5703125" hidden="1" customWidth="1"/>
    <col min="28" max="31" width="9.140625" hidden="1" customWidth="1"/>
    <col min="32" max="32" width="11.5703125" hidden="1" customWidth="1"/>
    <col min="33" max="33" width="13.5703125" style="2" bestFit="1" customWidth="1"/>
    <col min="34" max="34" width="11.28515625" customWidth="1"/>
    <col min="36" max="36" width="12.7109375" style="2" customWidth="1"/>
  </cols>
  <sheetData>
    <row r="1" spans="1:36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36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36" ht="21.75" thickBot="1" x14ac:dyDescent="0.4">
      <c r="A3" s="308" t="s">
        <v>80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36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63</v>
      </c>
      <c r="O4" s="315"/>
      <c r="P4" s="318"/>
      <c r="Q4" s="314" t="s">
        <v>64</v>
      </c>
      <c r="R4" s="315"/>
      <c r="S4" s="318"/>
      <c r="T4" s="314" t="s">
        <v>65</v>
      </c>
      <c r="U4" s="315"/>
      <c r="V4" s="315"/>
      <c r="W4" s="315"/>
      <c r="X4" s="315"/>
      <c r="Y4" s="315"/>
      <c r="Z4" s="318"/>
      <c r="AA4" s="378" t="s">
        <v>66</v>
      </c>
      <c r="AB4" s="379"/>
      <c r="AC4" s="379"/>
      <c r="AD4" s="379"/>
      <c r="AE4" s="379"/>
      <c r="AF4" s="380"/>
      <c r="AG4" s="320" t="s">
        <v>67</v>
      </c>
      <c r="AH4" s="321"/>
      <c r="AI4" s="322"/>
      <c r="AJ4" s="144" t="s">
        <v>68</v>
      </c>
    </row>
    <row r="5" spans="1:36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48" t="s">
        <v>69</v>
      </c>
      <c r="O5" s="149" t="s">
        <v>0</v>
      </c>
      <c r="P5" s="150" t="s">
        <v>70</v>
      </c>
      <c r="Q5" s="148" t="s">
        <v>69</v>
      </c>
      <c r="R5" s="149" t="s">
        <v>0</v>
      </c>
      <c r="S5" s="150" t="s">
        <v>70</v>
      </c>
      <c r="T5" s="151" t="s">
        <v>71</v>
      </c>
      <c r="U5" s="152" t="s">
        <v>72</v>
      </c>
      <c r="V5" s="152" t="s">
        <v>73</v>
      </c>
      <c r="W5" s="152" t="s">
        <v>79</v>
      </c>
      <c r="X5" s="153" t="s">
        <v>21</v>
      </c>
      <c r="Y5" s="153" t="s">
        <v>74</v>
      </c>
      <c r="Z5" s="154" t="s">
        <v>16</v>
      </c>
      <c r="AA5" s="155" t="s">
        <v>2</v>
      </c>
      <c r="AB5" s="156" t="s">
        <v>3</v>
      </c>
      <c r="AC5" s="156" t="s">
        <v>4</v>
      </c>
      <c r="AD5" s="157" t="s">
        <v>69</v>
      </c>
      <c r="AE5" s="158" t="s">
        <v>0</v>
      </c>
      <c r="AF5" s="159" t="s">
        <v>70</v>
      </c>
      <c r="AG5" s="160" t="s">
        <v>75</v>
      </c>
      <c r="AH5" s="161" t="s">
        <v>30</v>
      </c>
      <c r="AI5" s="162" t="s">
        <v>76</v>
      </c>
      <c r="AJ5" s="144" t="s">
        <v>68</v>
      </c>
    </row>
    <row r="6" spans="1:36" x14ac:dyDescent="0.25">
      <c r="A6" s="163">
        <v>45748</v>
      </c>
      <c r="B6" s="164">
        <v>200</v>
      </c>
      <c r="C6" s="165">
        <v>210</v>
      </c>
      <c r="D6" s="165">
        <v>205</v>
      </c>
      <c r="E6" s="165">
        <v>53</v>
      </c>
      <c r="F6" s="165">
        <v>286</v>
      </c>
      <c r="G6" s="165"/>
      <c r="H6" s="165">
        <f>B6*0.2+SUM(C6:F6)*0.4</f>
        <v>341.6</v>
      </c>
      <c r="I6" s="167">
        <v>18202.705562141633</v>
      </c>
      <c r="J6" s="166">
        <f>I6/H6</f>
        <v>53.286608788470822</v>
      </c>
      <c r="K6" s="164">
        <v>47</v>
      </c>
      <c r="L6" s="167">
        <v>2716.6669759707693</v>
      </c>
      <c r="M6" s="168">
        <f>L6/K6</f>
        <v>57.801425020654662</v>
      </c>
      <c r="N6" s="164">
        <v>25</v>
      </c>
      <c r="O6" s="167">
        <v>1298.5778129182891</v>
      </c>
      <c r="P6" s="168">
        <f>O6/N6</f>
        <v>51.94311251673156</v>
      </c>
      <c r="Q6" s="164">
        <v>75</v>
      </c>
      <c r="R6" s="167">
        <v>3494.9297227546194</v>
      </c>
      <c r="S6" s="168">
        <f>R6/Q6</f>
        <v>46.599062970061595</v>
      </c>
      <c r="T6" s="164"/>
      <c r="U6" s="165"/>
      <c r="V6" s="165"/>
      <c r="W6" s="177" t="e">
        <f>V6/U6</f>
        <v>#DIV/0!</v>
      </c>
      <c r="X6" s="165">
        <v>30</v>
      </c>
      <c r="Y6" s="167">
        <v>205.79999999999995</v>
      </c>
      <c r="Z6" s="197">
        <f>Y6/X6</f>
        <v>6.8599999999999985</v>
      </c>
      <c r="AA6" s="164"/>
      <c r="AB6" s="165"/>
      <c r="AC6" s="165"/>
      <c r="AD6" s="165"/>
      <c r="AE6" s="165"/>
      <c r="AF6" s="169" t="e">
        <f>AE6/AD6</f>
        <v>#DIV/0!</v>
      </c>
      <c r="AG6" s="198">
        <v>105</v>
      </c>
      <c r="AH6" s="171">
        <v>1132.9801920680798</v>
      </c>
      <c r="AI6" s="172">
        <f>AH6/AG6</f>
        <v>10.790287543505521</v>
      </c>
      <c r="AJ6" s="199">
        <f>I6+L6+O6+R6+V6+Y6+AH6</f>
        <v>27051.660265853388</v>
      </c>
    </row>
    <row r="7" spans="1:36" x14ac:dyDescent="0.25">
      <c r="A7" s="163">
        <v>45749</v>
      </c>
      <c r="B7" s="164">
        <v>200</v>
      </c>
      <c r="C7" s="165">
        <v>210</v>
      </c>
      <c r="D7" s="165">
        <v>205</v>
      </c>
      <c r="E7" s="176">
        <v>51</v>
      </c>
      <c r="F7" s="165">
        <v>286</v>
      </c>
      <c r="G7" s="176"/>
      <c r="H7" s="165">
        <f t="shared" ref="H7:H31" si="0">B7*0.2+SUM(C7:F7)*0.4</f>
        <v>340.8</v>
      </c>
      <c r="I7" s="177">
        <v>16744.101374454225</v>
      </c>
      <c r="J7" s="166">
        <f t="shared" ref="J7:J35" si="1">I7/H7</f>
        <v>49.131752859314041</v>
      </c>
      <c r="K7" s="175">
        <v>50</v>
      </c>
      <c r="L7" s="177">
        <v>2347.2077011494252</v>
      </c>
      <c r="M7" s="178">
        <f t="shared" ref="M7:M35" si="2">L7/K7</f>
        <v>46.944154022988506</v>
      </c>
      <c r="N7" s="164">
        <v>25</v>
      </c>
      <c r="O7" s="177">
        <v>1365.1429933241716</v>
      </c>
      <c r="P7" s="178">
        <f t="shared" ref="P7:P35" si="3">O7/N7</f>
        <v>54.605719732966861</v>
      </c>
      <c r="Q7" s="175">
        <v>75</v>
      </c>
      <c r="R7" s="177">
        <v>4712.2540382523875</v>
      </c>
      <c r="S7" s="178">
        <f t="shared" ref="S7:S35" si="4">R7/Q7</f>
        <v>62.830053843365164</v>
      </c>
      <c r="T7" s="175"/>
      <c r="U7" s="176"/>
      <c r="V7" s="200"/>
      <c r="W7" s="177" t="e">
        <f>V7/U7</f>
        <v>#DIV/0!</v>
      </c>
      <c r="X7" s="176">
        <v>30</v>
      </c>
      <c r="Y7" s="167">
        <v>192.23999999999995</v>
      </c>
      <c r="Z7" s="197">
        <f t="shared" ref="Z7:Z35" si="5">Y7/X7</f>
        <v>6.4079999999999986</v>
      </c>
      <c r="AA7" s="175"/>
      <c r="AB7" s="176"/>
      <c r="AC7" s="176"/>
      <c r="AD7" s="176"/>
      <c r="AE7" s="176"/>
      <c r="AF7" s="179"/>
      <c r="AG7" s="198">
        <v>105</v>
      </c>
      <c r="AH7" s="104">
        <v>1033.7519247317373</v>
      </c>
      <c r="AI7" s="172">
        <f>AH7/AG7</f>
        <v>9.8452564260165456</v>
      </c>
      <c r="AJ7" s="199">
        <f t="shared" ref="AJ7:AJ35" si="6">I7+L7+O7+R7+V7+Y7+AH7</f>
        <v>26394.698031911947</v>
      </c>
    </row>
    <row r="8" spans="1:36" x14ac:dyDescent="0.25">
      <c r="A8" s="163">
        <v>45750</v>
      </c>
      <c r="B8" s="164">
        <v>200</v>
      </c>
      <c r="C8" s="165">
        <v>210</v>
      </c>
      <c r="D8" s="165">
        <v>205</v>
      </c>
      <c r="E8" s="176">
        <v>58</v>
      </c>
      <c r="F8" s="165">
        <v>286</v>
      </c>
      <c r="G8" s="176">
        <v>1</v>
      </c>
      <c r="H8" s="165">
        <f t="shared" si="0"/>
        <v>343.6</v>
      </c>
      <c r="I8" s="177">
        <v>16565.724772274487</v>
      </c>
      <c r="J8" s="166">
        <f t="shared" si="1"/>
        <v>48.212237404756941</v>
      </c>
      <c r="K8" s="175">
        <v>47</v>
      </c>
      <c r="L8" s="177">
        <v>2223.2843901187412</v>
      </c>
      <c r="M8" s="178">
        <f t="shared" si="2"/>
        <v>47.303923194015766</v>
      </c>
      <c r="N8" s="164">
        <v>25</v>
      </c>
      <c r="O8" s="177">
        <v>1237.2469090776317</v>
      </c>
      <c r="P8" s="178">
        <f t="shared" si="3"/>
        <v>49.489876363105267</v>
      </c>
      <c r="Q8" s="175">
        <v>75</v>
      </c>
      <c r="R8" s="177">
        <v>2884.7181104362335</v>
      </c>
      <c r="S8" s="178">
        <f t="shared" si="4"/>
        <v>38.462908139149782</v>
      </c>
      <c r="T8" s="175"/>
      <c r="U8" s="176"/>
      <c r="V8" s="177"/>
      <c r="W8" s="177" t="e">
        <f>V8/U8</f>
        <v>#DIV/0!</v>
      </c>
      <c r="X8" s="176">
        <v>30</v>
      </c>
      <c r="Y8" s="167">
        <v>205.5</v>
      </c>
      <c r="Z8" s="197">
        <f t="shared" si="5"/>
        <v>6.85</v>
      </c>
      <c r="AA8" s="175"/>
      <c r="AB8" s="176"/>
      <c r="AC8" s="176"/>
      <c r="AD8" s="176"/>
      <c r="AE8" s="176"/>
      <c r="AF8" s="179"/>
      <c r="AG8" s="198">
        <v>105</v>
      </c>
      <c r="AH8" s="104">
        <v>1025.8625414646935</v>
      </c>
      <c r="AI8" s="172">
        <f>AH8/AG8</f>
        <v>9.7701194425208904</v>
      </c>
      <c r="AJ8" s="199">
        <f>I8+L8+O8+R8+V8+Y8+AH8</f>
        <v>24142.336723371784</v>
      </c>
    </row>
    <row r="9" spans="1:36" x14ac:dyDescent="0.25">
      <c r="A9" s="163">
        <v>45751</v>
      </c>
      <c r="B9" s="175">
        <v>85</v>
      </c>
      <c r="C9" s="176">
        <v>95</v>
      </c>
      <c r="D9" s="176">
        <v>85</v>
      </c>
      <c r="E9" s="176">
        <v>47</v>
      </c>
      <c r="F9" s="165">
        <v>286</v>
      </c>
      <c r="G9" s="176"/>
      <c r="H9" s="165">
        <f t="shared" si="0"/>
        <v>222.20000000000002</v>
      </c>
      <c r="I9" s="177">
        <v>13979.013873714632</v>
      </c>
      <c r="J9" s="181">
        <f t="shared" si="1"/>
        <v>62.911853617077547</v>
      </c>
      <c r="K9" s="175">
        <v>48</v>
      </c>
      <c r="L9" s="177">
        <v>2431.0882939879066</v>
      </c>
      <c r="M9" s="178">
        <f t="shared" si="2"/>
        <v>50.64767279141472</v>
      </c>
      <c r="N9" s="164">
        <v>25</v>
      </c>
      <c r="O9" s="177">
        <v>1654.2730238449963</v>
      </c>
      <c r="P9" s="178">
        <f t="shared" si="3"/>
        <v>66.17092095379985</v>
      </c>
      <c r="Q9" s="175">
        <v>75</v>
      </c>
      <c r="R9" s="177">
        <v>4099.6329759753125</v>
      </c>
      <c r="S9" s="178">
        <f t="shared" si="4"/>
        <v>54.661773013004165</v>
      </c>
      <c r="T9" s="175"/>
      <c r="U9" s="176"/>
      <c r="V9" s="177"/>
      <c r="W9" s="177" t="e">
        <f t="shared" ref="W9:W35" si="7">V9/U9</f>
        <v>#DIV/0!</v>
      </c>
      <c r="X9" s="176">
        <v>30</v>
      </c>
      <c r="Y9" s="167">
        <v>200.2</v>
      </c>
      <c r="Z9" s="197">
        <f t="shared" si="5"/>
        <v>6.6733333333333329</v>
      </c>
      <c r="AA9" s="175"/>
      <c r="AB9" s="176"/>
      <c r="AC9" s="176"/>
      <c r="AD9" s="176"/>
      <c r="AE9" s="176"/>
      <c r="AF9" s="179"/>
      <c r="AG9" s="198">
        <v>105</v>
      </c>
      <c r="AH9" s="104">
        <v>1112.515852358322</v>
      </c>
      <c r="AI9" s="172">
        <f>AH9/AG9</f>
        <v>10.595389070079257</v>
      </c>
      <c r="AJ9" s="199">
        <f t="shared" si="6"/>
        <v>23476.724019881171</v>
      </c>
    </row>
    <row r="10" spans="1:36" x14ac:dyDescent="0.25">
      <c r="A10" s="163">
        <v>45752</v>
      </c>
      <c r="B10" s="175">
        <v>85</v>
      </c>
      <c r="C10" s="176">
        <v>95</v>
      </c>
      <c r="D10" s="176">
        <v>85</v>
      </c>
      <c r="E10" s="176">
        <v>41</v>
      </c>
      <c r="F10" s="165">
        <v>286</v>
      </c>
      <c r="G10" s="176"/>
      <c r="H10" s="165">
        <f t="shared" si="0"/>
        <v>219.8</v>
      </c>
      <c r="I10" s="177">
        <v>18953.075671206389</v>
      </c>
      <c r="J10" s="181">
        <f t="shared" si="1"/>
        <v>86.228733717954441</v>
      </c>
      <c r="K10" s="175">
        <v>46</v>
      </c>
      <c r="L10" s="177">
        <v>2562.3534482758623</v>
      </c>
      <c r="M10" s="178">
        <f t="shared" si="2"/>
        <v>55.703335832083965</v>
      </c>
      <c r="N10" s="164">
        <v>25</v>
      </c>
      <c r="O10" s="177">
        <v>1367.0418840307918</v>
      </c>
      <c r="P10" s="178">
        <f t="shared" si="3"/>
        <v>54.681675361231676</v>
      </c>
      <c r="Q10" s="175">
        <v>75</v>
      </c>
      <c r="R10" s="177">
        <v>4099.5010092822167</v>
      </c>
      <c r="S10" s="178">
        <f t="shared" si="4"/>
        <v>54.66001345709622</v>
      </c>
      <c r="T10" s="175"/>
      <c r="U10" s="176"/>
      <c r="V10" s="177"/>
      <c r="W10" s="177" t="e">
        <f t="shared" si="7"/>
        <v>#DIV/0!</v>
      </c>
      <c r="X10" s="176">
        <v>30</v>
      </c>
      <c r="Y10" s="167">
        <v>202.85999999999996</v>
      </c>
      <c r="Z10" s="197">
        <f t="shared" si="5"/>
        <v>6.7619999999999987</v>
      </c>
      <c r="AA10" s="175"/>
      <c r="AB10" s="176"/>
      <c r="AC10" s="176"/>
      <c r="AD10" s="176"/>
      <c r="AE10" s="176"/>
      <c r="AF10" s="179"/>
      <c r="AG10" s="198">
        <v>105</v>
      </c>
      <c r="AH10" s="104">
        <v>1161.0181487441962</v>
      </c>
      <c r="AI10" s="172">
        <f t="shared" ref="AI10:AI35" si="8">AH10/AG10</f>
        <v>11.057315702325678</v>
      </c>
      <c r="AJ10" s="199">
        <f t="shared" si="6"/>
        <v>28345.850161539453</v>
      </c>
    </row>
    <row r="11" spans="1:36" x14ac:dyDescent="0.25">
      <c r="A11" s="163">
        <v>45753</v>
      </c>
      <c r="B11" s="175">
        <v>200</v>
      </c>
      <c r="C11" s="176">
        <v>210</v>
      </c>
      <c r="D11" s="176">
        <v>219</v>
      </c>
      <c r="E11" s="176">
        <v>55</v>
      </c>
      <c r="F11" s="165">
        <v>301</v>
      </c>
      <c r="G11" s="176"/>
      <c r="H11" s="165">
        <f t="shared" si="0"/>
        <v>354</v>
      </c>
      <c r="I11" s="177">
        <v>23690.478846180744</v>
      </c>
      <c r="J11" s="181">
        <f t="shared" si="1"/>
        <v>66.922256627629224</v>
      </c>
      <c r="K11" s="175">
        <v>49</v>
      </c>
      <c r="L11" s="177">
        <v>2459.0374980155038</v>
      </c>
      <c r="M11" s="178">
        <f t="shared" si="2"/>
        <v>50.184438735010282</v>
      </c>
      <c r="N11" s="164">
        <v>25</v>
      </c>
      <c r="O11" s="177">
        <v>1407.0400624276626</v>
      </c>
      <c r="P11" s="178">
        <f t="shared" si="3"/>
        <v>56.281602497106505</v>
      </c>
      <c r="Q11" s="175">
        <v>75</v>
      </c>
      <c r="R11" s="177">
        <v>3084.0127817579214</v>
      </c>
      <c r="S11" s="178">
        <f t="shared" si="4"/>
        <v>41.12017042343895</v>
      </c>
      <c r="T11" s="175"/>
      <c r="U11" s="176">
        <v>10</v>
      </c>
      <c r="V11" s="177">
        <v>97.311880525205467</v>
      </c>
      <c r="W11" s="177">
        <f t="shared" si="7"/>
        <v>9.7311880525205474</v>
      </c>
      <c r="X11" s="176">
        <v>179</v>
      </c>
      <c r="Y11" s="167">
        <v>869.42091639344267</v>
      </c>
      <c r="Z11" s="197">
        <f t="shared" si="5"/>
        <v>4.8571000915834786</v>
      </c>
      <c r="AA11" s="175"/>
      <c r="AB11" s="176"/>
      <c r="AC11" s="176"/>
      <c r="AD11" s="176"/>
      <c r="AE11" s="176"/>
      <c r="AF11" s="179"/>
      <c r="AG11" s="198">
        <v>105</v>
      </c>
      <c r="AH11" s="104">
        <v>1109.4202744550298</v>
      </c>
      <c r="AI11" s="172">
        <f t="shared" si="8"/>
        <v>10.565907375762189</v>
      </c>
      <c r="AJ11" s="199">
        <f t="shared" si="6"/>
        <v>32716.722259755508</v>
      </c>
    </row>
    <row r="12" spans="1:36" x14ac:dyDescent="0.25">
      <c r="A12" s="163">
        <v>45754</v>
      </c>
      <c r="B12" s="175">
        <v>200</v>
      </c>
      <c r="C12" s="176">
        <v>210</v>
      </c>
      <c r="D12" s="176">
        <v>205</v>
      </c>
      <c r="E12" s="176">
        <v>58</v>
      </c>
      <c r="F12" s="165">
        <v>301</v>
      </c>
      <c r="G12" s="176"/>
      <c r="H12" s="165">
        <f t="shared" si="0"/>
        <v>349.6</v>
      </c>
      <c r="I12" s="177">
        <v>22971.667747636802</v>
      </c>
      <c r="J12" s="181">
        <f t="shared" si="1"/>
        <v>65.708431772416475</v>
      </c>
      <c r="K12" s="175">
        <v>50</v>
      </c>
      <c r="L12" s="177">
        <v>2665.4650318378235</v>
      </c>
      <c r="M12" s="178">
        <f t="shared" si="2"/>
        <v>53.309300636756468</v>
      </c>
      <c r="N12" s="164">
        <v>25</v>
      </c>
      <c r="O12" s="177">
        <v>1485.2538873341455</v>
      </c>
      <c r="P12" s="178">
        <f t="shared" si="3"/>
        <v>59.410155493365821</v>
      </c>
      <c r="Q12" s="175">
        <v>75</v>
      </c>
      <c r="R12" s="177">
        <v>4319.2183895000089</v>
      </c>
      <c r="S12" s="178">
        <f t="shared" si="4"/>
        <v>57.589578526666784</v>
      </c>
      <c r="T12" s="175"/>
      <c r="U12" s="176">
        <v>163</v>
      </c>
      <c r="V12" s="177">
        <v>1564.3574433292649</v>
      </c>
      <c r="W12" s="177">
        <f t="shared" si="7"/>
        <v>9.5972849284003985</v>
      </c>
      <c r="X12" s="176">
        <v>181</v>
      </c>
      <c r="Y12" s="167">
        <v>1092.9782560975609</v>
      </c>
      <c r="Z12" s="197">
        <f t="shared" si="5"/>
        <v>6.0385539010914968</v>
      </c>
      <c r="AA12" s="175"/>
      <c r="AB12" s="176"/>
      <c r="AC12" s="176"/>
      <c r="AD12" s="176"/>
      <c r="AE12" s="176"/>
      <c r="AF12" s="179"/>
      <c r="AG12" s="198">
        <v>105</v>
      </c>
      <c r="AH12" s="104">
        <v>1118.8953002255237</v>
      </c>
      <c r="AI12" s="172">
        <f t="shared" si="8"/>
        <v>10.656145716433558</v>
      </c>
      <c r="AJ12" s="199">
        <f t="shared" si="6"/>
        <v>35217.836055961125</v>
      </c>
    </row>
    <row r="13" spans="1:36" x14ac:dyDescent="0.25">
      <c r="A13" s="163">
        <v>45755</v>
      </c>
      <c r="B13" s="175">
        <v>200</v>
      </c>
      <c r="C13" s="176">
        <v>210</v>
      </c>
      <c r="D13" s="176">
        <v>205</v>
      </c>
      <c r="E13" s="176">
        <v>67</v>
      </c>
      <c r="F13" s="165">
        <v>301</v>
      </c>
      <c r="G13" s="176"/>
      <c r="H13" s="165">
        <f t="shared" si="0"/>
        <v>353.20000000000005</v>
      </c>
      <c r="I13" s="177">
        <v>17216.473381465534</v>
      </c>
      <c r="J13" s="181">
        <f t="shared" si="1"/>
        <v>48.744262121929594</v>
      </c>
      <c r="K13" s="175">
        <v>49</v>
      </c>
      <c r="L13" s="177">
        <v>2250.5359626694703</v>
      </c>
      <c r="M13" s="178">
        <f t="shared" si="2"/>
        <v>45.929305360601433</v>
      </c>
      <c r="N13" s="164">
        <v>25</v>
      </c>
      <c r="O13" s="177">
        <v>1108.2913468897184</v>
      </c>
      <c r="P13" s="178">
        <f t="shared" si="3"/>
        <v>44.331653875588735</v>
      </c>
      <c r="Q13" s="175">
        <v>75</v>
      </c>
      <c r="R13" s="177">
        <v>5128.1868413991142</v>
      </c>
      <c r="S13" s="178">
        <f t="shared" si="4"/>
        <v>68.375824551988188</v>
      </c>
      <c r="T13" s="175"/>
      <c r="U13" s="176">
        <v>12</v>
      </c>
      <c r="V13" s="177">
        <v>129.75</v>
      </c>
      <c r="W13" s="177">
        <f t="shared" si="7"/>
        <v>10.8125</v>
      </c>
      <c r="X13" s="176">
        <v>185</v>
      </c>
      <c r="Y13" s="167">
        <v>1186.75</v>
      </c>
      <c r="Z13" s="197">
        <f t="shared" si="5"/>
        <v>6.4148648648648647</v>
      </c>
      <c r="AA13" s="175"/>
      <c r="AB13" s="176"/>
      <c r="AC13" s="176"/>
      <c r="AD13" s="176"/>
      <c r="AE13" s="176"/>
      <c r="AF13" s="179"/>
      <c r="AG13" s="198">
        <v>105</v>
      </c>
      <c r="AH13" s="104">
        <v>1084.3193302698514</v>
      </c>
      <c r="AI13" s="172">
        <f t="shared" si="8"/>
        <v>10.326850764474775</v>
      </c>
      <c r="AJ13" s="199">
        <f t="shared" si="6"/>
        <v>28104.306862693687</v>
      </c>
    </row>
    <row r="14" spans="1:36" x14ac:dyDescent="0.25">
      <c r="A14" s="163">
        <v>45756</v>
      </c>
      <c r="B14" s="175">
        <v>200</v>
      </c>
      <c r="C14" s="176">
        <v>210</v>
      </c>
      <c r="D14" s="176">
        <v>205</v>
      </c>
      <c r="E14" s="176">
        <v>56</v>
      </c>
      <c r="F14" s="165">
        <v>301</v>
      </c>
      <c r="G14" s="176"/>
      <c r="H14" s="165">
        <f t="shared" si="0"/>
        <v>348.8</v>
      </c>
      <c r="I14" s="177">
        <v>31369.290362382431</v>
      </c>
      <c r="J14" s="181">
        <f t="shared" si="1"/>
        <v>89.934892093986321</v>
      </c>
      <c r="K14" s="175">
        <v>48</v>
      </c>
      <c r="L14" s="177">
        <v>2342.3962236078864</v>
      </c>
      <c r="M14" s="178">
        <f t="shared" si="2"/>
        <v>48.799921325164298</v>
      </c>
      <c r="N14" s="164">
        <v>25</v>
      </c>
      <c r="O14" s="177">
        <v>1142.2257163365723</v>
      </c>
      <c r="P14" s="178">
        <f t="shared" si="3"/>
        <v>45.689028653462891</v>
      </c>
      <c r="Q14" s="175">
        <v>75</v>
      </c>
      <c r="R14" s="177">
        <v>4220.2695193458276</v>
      </c>
      <c r="S14" s="178">
        <f t="shared" si="4"/>
        <v>56.270260257944365</v>
      </c>
      <c r="T14" s="175"/>
      <c r="U14" s="176">
        <v>12</v>
      </c>
      <c r="V14" s="177">
        <v>142.5</v>
      </c>
      <c r="W14" s="177">
        <f t="shared" si="7"/>
        <v>11.875</v>
      </c>
      <c r="X14" s="176">
        <v>188</v>
      </c>
      <c r="Y14" s="177">
        <v>1251.9268292682925</v>
      </c>
      <c r="Z14" s="197">
        <f t="shared" si="5"/>
        <v>6.6591852620653862</v>
      </c>
      <c r="AA14" s="175"/>
      <c r="AB14" s="176"/>
      <c r="AC14" s="176"/>
      <c r="AD14" s="176"/>
      <c r="AE14" s="176"/>
      <c r="AF14" s="179"/>
      <c r="AG14" s="198">
        <v>105</v>
      </c>
      <c r="AH14" s="104">
        <v>1143.3243964151434</v>
      </c>
      <c r="AI14" s="172">
        <f t="shared" si="8"/>
        <v>10.888803775382318</v>
      </c>
      <c r="AJ14" s="199">
        <f t="shared" si="6"/>
        <v>41611.933047356149</v>
      </c>
    </row>
    <row r="15" spans="1:36" x14ac:dyDescent="0.25">
      <c r="A15" s="163">
        <v>45757</v>
      </c>
      <c r="B15" s="175">
        <v>200</v>
      </c>
      <c r="C15" s="176">
        <v>210</v>
      </c>
      <c r="D15" s="176">
        <v>205</v>
      </c>
      <c r="E15" s="176">
        <v>60</v>
      </c>
      <c r="F15" s="165">
        <v>301</v>
      </c>
      <c r="G15" s="176"/>
      <c r="H15" s="165">
        <f t="shared" si="0"/>
        <v>350.40000000000003</v>
      </c>
      <c r="I15" s="177">
        <v>20785.700412168004</v>
      </c>
      <c r="J15" s="181">
        <f t="shared" si="1"/>
        <v>59.319921267602744</v>
      </c>
      <c r="K15" s="175">
        <v>48</v>
      </c>
      <c r="L15" s="177">
        <v>2461.1564386256068</v>
      </c>
      <c r="M15" s="178">
        <f t="shared" si="2"/>
        <v>51.274092471366806</v>
      </c>
      <c r="N15" s="164">
        <v>25</v>
      </c>
      <c r="O15" s="177">
        <v>1422.5537289411213</v>
      </c>
      <c r="P15" s="178">
        <f t="shared" si="3"/>
        <v>56.902149157644857</v>
      </c>
      <c r="Q15" s="175">
        <v>75</v>
      </c>
      <c r="R15" s="177">
        <v>4220.2695193458276</v>
      </c>
      <c r="S15" s="178">
        <f t="shared" si="4"/>
        <v>56.270260257944365</v>
      </c>
      <c r="T15" s="175"/>
      <c r="U15" s="176">
        <v>12</v>
      </c>
      <c r="V15" s="177">
        <v>142.5</v>
      </c>
      <c r="W15" s="177">
        <f t="shared" si="7"/>
        <v>11.875</v>
      </c>
      <c r="X15" s="176">
        <v>179</v>
      </c>
      <c r="Y15" s="177">
        <v>1187.8499999999999</v>
      </c>
      <c r="Z15" s="197">
        <f t="shared" si="5"/>
        <v>6.636033519553072</v>
      </c>
      <c r="AA15" s="175"/>
      <c r="AB15" s="176"/>
      <c r="AC15" s="176"/>
      <c r="AD15" s="176"/>
      <c r="AE15" s="176"/>
      <c r="AF15" s="179"/>
      <c r="AG15" s="198">
        <v>105</v>
      </c>
      <c r="AH15" s="104">
        <v>1105.9739602721775</v>
      </c>
      <c r="AI15" s="172">
        <f t="shared" si="8"/>
        <v>10.533085335925499</v>
      </c>
      <c r="AJ15" s="199">
        <f t="shared" si="6"/>
        <v>31326.004059352737</v>
      </c>
    </row>
    <row r="16" spans="1:36" x14ac:dyDescent="0.25">
      <c r="A16" s="163">
        <v>45758</v>
      </c>
      <c r="B16" s="175">
        <v>85</v>
      </c>
      <c r="C16" s="176">
        <v>95</v>
      </c>
      <c r="D16" s="176">
        <v>85</v>
      </c>
      <c r="E16" s="176">
        <v>63</v>
      </c>
      <c r="F16" s="165">
        <v>301</v>
      </c>
      <c r="G16" s="176"/>
      <c r="H16" s="165">
        <f t="shared" si="0"/>
        <v>234.60000000000002</v>
      </c>
      <c r="I16" s="177">
        <v>16029.283909785096</v>
      </c>
      <c r="J16" s="181">
        <f t="shared" si="1"/>
        <v>68.326018370780446</v>
      </c>
      <c r="K16" s="175">
        <v>46</v>
      </c>
      <c r="L16" s="177">
        <v>1880.9655172413793</v>
      </c>
      <c r="M16" s="178">
        <f t="shared" si="2"/>
        <v>40.890554722638683</v>
      </c>
      <c r="N16" s="164">
        <v>25</v>
      </c>
      <c r="O16" s="177">
        <v>1416.1473712801117</v>
      </c>
      <c r="P16" s="178">
        <f t="shared" si="3"/>
        <v>56.645894851204467</v>
      </c>
      <c r="Q16" s="175">
        <v>75</v>
      </c>
      <c r="R16" s="177">
        <v>4003.2041212237887</v>
      </c>
      <c r="S16" s="178">
        <f t="shared" si="4"/>
        <v>53.376054949650516</v>
      </c>
      <c r="T16" s="175"/>
      <c r="U16" s="176">
        <v>0</v>
      </c>
      <c r="V16" s="177"/>
      <c r="W16" s="177" t="e">
        <f t="shared" si="7"/>
        <v>#DIV/0!</v>
      </c>
      <c r="X16" s="176">
        <v>38</v>
      </c>
      <c r="Y16" s="177">
        <v>235.19999999999996</v>
      </c>
      <c r="Z16" s="197">
        <f t="shared" si="5"/>
        <v>6.1894736842105251</v>
      </c>
      <c r="AA16" s="175"/>
      <c r="AB16" s="176"/>
      <c r="AC16" s="176"/>
      <c r="AD16" s="176"/>
      <c r="AE16" s="176"/>
      <c r="AF16" s="179"/>
      <c r="AG16" s="198">
        <v>105</v>
      </c>
      <c r="AH16" s="104">
        <v>1041.0808235218835</v>
      </c>
      <c r="AI16" s="172">
        <f t="shared" si="8"/>
        <v>9.9150554621131768</v>
      </c>
      <c r="AJ16" s="199">
        <f t="shared" si="6"/>
        <v>24605.881743052261</v>
      </c>
    </row>
    <row r="17" spans="1:36" x14ac:dyDescent="0.25">
      <c r="A17" s="163">
        <v>45759</v>
      </c>
      <c r="B17" s="175">
        <v>85</v>
      </c>
      <c r="C17" s="176">
        <v>95</v>
      </c>
      <c r="D17" s="176">
        <v>85</v>
      </c>
      <c r="E17" s="176">
        <v>55</v>
      </c>
      <c r="F17" s="165">
        <v>301</v>
      </c>
      <c r="G17" s="176">
        <v>70</v>
      </c>
      <c r="H17" s="165">
        <f t="shared" si="0"/>
        <v>231.4</v>
      </c>
      <c r="I17" s="177">
        <v>16824.948883044304</v>
      </c>
      <c r="J17" s="181">
        <f t="shared" si="1"/>
        <v>72.709372874003037</v>
      </c>
      <c r="K17" s="175">
        <v>45</v>
      </c>
      <c r="L17" s="177">
        <v>2292.5859752968527</v>
      </c>
      <c r="M17" s="178">
        <f t="shared" si="2"/>
        <v>50.946355006596725</v>
      </c>
      <c r="N17" s="164">
        <v>25</v>
      </c>
      <c r="O17" s="177">
        <v>1380.0499544052605</v>
      </c>
      <c r="P17" s="178">
        <f t="shared" si="3"/>
        <v>55.201998176210417</v>
      </c>
      <c r="Q17" s="175">
        <v>75</v>
      </c>
      <c r="R17" s="177">
        <v>4073.335772059429</v>
      </c>
      <c r="S17" s="178">
        <f t="shared" si="4"/>
        <v>54.311143627459053</v>
      </c>
      <c r="T17" s="175"/>
      <c r="U17" s="176">
        <v>0</v>
      </c>
      <c r="V17" s="177"/>
      <c r="W17" s="177" t="e">
        <f t="shared" si="7"/>
        <v>#DIV/0!</v>
      </c>
      <c r="X17" s="176">
        <v>32</v>
      </c>
      <c r="Y17" s="177">
        <v>205.79999999999995</v>
      </c>
      <c r="Z17" s="197">
        <f t="shared" si="5"/>
        <v>6.4312499999999986</v>
      </c>
      <c r="AA17" s="175"/>
      <c r="AB17" s="176"/>
      <c r="AC17" s="176"/>
      <c r="AD17" s="176"/>
      <c r="AE17" s="176"/>
      <c r="AF17" s="179"/>
      <c r="AG17" s="198">
        <v>105</v>
      </c>
      <c r="AH17" s="104">
        <v>1130.1958847947876</v>
      </c>
      <c r="AI17" s="172">
        <f t="shared" si="8"/>
        <v>10.763770331378929</v>
      </c>
      <c r="AJ17" s="199">
        <f t="shared" si="6"/>
        <v>25906.916469600634</v>
      </c>
    </row>
    <row r="18" spans="1:36" x14ac:dyDescent="0.25">
      <c r="A18" s="163">
        <v>45760</v>
      </c>
      <c r="B18" s="175">
        <v>200</v>
      </c>
      <c r="C18" s="176">
        <v>210</v>
      </c>
      <c r="D18" s="176">
        <v>205</v>
      </c>
      <c r="E18" s="176">
        <v>69</v>
      </c>
      <c r="F18" s="165">
        <v>301</v>
      </c>
      <c r="G18" s="176">
        <v>7</v>
      </c>
      <c r="H18" s="165">
        <f t="shared" si="0"/>
        <v>354</v>
      </c>
      <c r="I18" s="177">
        <v>29169.291669017606</v>
      </c>
      <c r="J18" s="181">
        <f t="shared" si="1"/>
        <v>82.399129008524312</v>
      </c>
      <c r="K18" s="175">
        <v>50</v>
      </c>
      <c r="L18" s="177">
        <v>2555.4212707393667</v>
      </c>
      <c r="M18" s="178">
        <f t="shared" si="2"/>
        <v>51.108425414787334</v>
      </c>
      <c r="N18" s="164">
        <v>25</v>
      </c>
      <c r="O18" s="177">
        <v>1469.796650199956</v>
      </c>
      <c r="P18" s="178">
        <f t="shared" si="3"/>
        <v>58.791866007998244</v>
      </c>
      <c r="Q18" s="175">
        <v>75</v>
      </c>
      <c r="R18" s="177">
        <v>4682.0324012626697</v>
      </c>
      <c r="S18" s="178">
        <f t="shared" si="4"/>
        <v>62.427098683502265</v>
      </c>
      <c r="T18" s="175"/>
      <c r="U18" s="176">
        <v>149</v>
      </c>
      <c r="V18" s="177">
        <v>1994.8761169976665</v>
      </c>
      <c r="W18" s="177">
        <f t="shared" si="7"/>
        <v>13.38843031542058</v>
      </c>
      <c r="X18" s="176">
        <v>184</v>
      </c>
      <c r="Y18" s="177">
        <v>1107.760354385965</v>
      </c>
      <c r="Z18" s="197">
        <f t="shared" si="5"/>
        <v>6.0204367086193749</v>
      </c>
      <c r="AA18" s="175"/>
      <c r="AB18" s="176"/>
      <c r="AC18" s="176"/>
      <c r="AD18" s="176"/>
      <c r="AE18" s="176"/>
      <c r="AF18" s="179"/>
      <c r="AG18" s="198">
        <v>105</v>
      </c>
      <c r="AH18" s="104">
        <v>1173.0936846094962</v>
      </c>
      <c r="AI18" s="172">
        <f t="shared" si="8"/>
        <v>11.172320805804725</v>
      </c>
      <c r="AJ18" s="199">
        <f t="shared" si="6"/>
        <v>42152.272147212723</v>
      </c>
    </row>
    <row r="19" spans="1:36" x14ac:dyDescent="0.25">
      <c r="A19" s="163">
        <v>45761</v>
      </c>
      <c r="B19" s="175">
        <v>200</v>
      </c>
      <c r="C19" s="176">
        <v>210</v>
      </c>
      <c r="D19" s="176">
        <v>210</v>
      </c>
      <c r="E19" s="176">
        <v>54</v>
      </c>
      <c r="F19" s="165">
        <v>301</v>
      </c>
      <c r="G19" s="176">
        <v>55</v>
      </c>
      <c r="H19" s="165">
        <f t="shared" si="0"/>
        <v>350</v>
      </c>
      <c r="I19" s="177">
        <v>19388.314806065398</v>
      </c>
      <c r="J19" s="181">
        <f t="shared" si="1"/>
        <v>55.395185160186855</v>
      </c>
      <c r="K19" s="175">
        <v>47</v>
      </c>
      <c r="L19" s="177">
        <v>5014.7505565702686</v>
      </c>
      <c r="M19" s="178">
        <f t="shared" si="2"/>
        <v>106.6968203525589</v>
      </c>
      <c r="N19" s="164">
        <v>25</v>
      </c>
      <c r="O19" s="177">
        <v>1410.3786554141436</v>
      </c>
      <c r="P19" s="178">
        <f t="shared" si="3"/>
        <v>56.415146216565745</v>
      </c>
      <c r="Q19" s="175">
        <v>75</v>
      </c>
      <c r="R19" s="177">
        <v>4220.2695193458276</v>
      </c>
      <c r="S19" s="178">
        <f t="shared" si="4"/>
        <v>56.270260257944365</v>
      </c>
      <c r="T19" s="175"/>
      <c r="U19" s="176">
        <v>45</v>
      </c>
      <c r="V19" s="177">
        <v>570.94058023178127</v>
      </c>
      <c r="W19" s="177">
        <f t="shared" si="7"/>
        <v>12.687568449595139</v>
      </c>
      <c r="X19" s="176">
        <v>175</v>
      </c>
      <c r="Y19" s="177">
        <v>1220.9999999999998</v>
      </c>
      <c r="Z19" s="197">
        <f t="shared" si="5"/>
        <v>6.977142857142856</v>
      </c>
      <c r="AA19" s="175"/>
      <c r="AB19" s="176"/>
      <c r="AC19" s="176"/>
      <c r="AD19" s="176"/>
      <c r="AE19" s="176"/>
      <c r="AF19" s="179"/>
      <c r="AG19" s="198">
        <v>105</v>
      </c>
      <c r="AH19" s="104">
        <v>1159.9431034482759</v>
      </c>
      <c r="AI19" s="172">
        <f t="shared" si="8"/>
        <v>11.047077175697865</v>
      </c>
      <c r="AJ19" s="199">
        <f t="shared" si="6"/>
        <v>32985.597221075695</v>
      </c>
    </row>
    <row r="20" spans="1:36" x14ac:dyDescent="0.25">
      <c r="A20" s="163">
        <v>45762</v>
      </c>
      <c r="B20" s="175">
        <v>200</v>
      </c>
      <c r="C20" s="176">
        <v>210</v>
      </c>
      <c r="D20" s="176">
        <v>205</v>
      </c>
      <c r="E20" s="176">
        <v>59</v>
      </c>
      <c r="F20" s="165">
        <v>301</v>
      </c>
      <c r="G20" s="176"/>
      <c r="H20" s="165">
        <f t="shared" si="0"/>
        <v>350</v>
      </c>
      <c r="I20" s="177">
        <v>29861.958109872474</v>
      </c>
      <c r="J20" s="181">
        <f t="shared" si="1"/>
        <v>85.31988031392136</v>
      </c>
      <c r="K20" s="175">
        <v>47</v>
      </c>
      <c r="L20" s="177">
        <v>3084.021830154737</v>
      </c>
      <c r="M20" s="178">
        <f t="shared" si="2"/>
        <v>65.617485747973134</v>
      </c>
      <c r="N20" s="164">
        <v>25</v>
      </c>
      <c r="O20" s="177">
        <v>1326.6627000585504</v>
      </c>
      <c r="P20" s="178">
        <f t="shared" si="3"/>
        <v>53.066508002342019</v>
      </c>
      <c r="Q20" s="175">
        <v>75</v>
      </c>
      <c r="R20" s="177">
        <v>5115.0417940631996</v>
      </c>
      <c r="S20" s="178">
        <f t="shared" si="4"/>
        <v>68.20055725417599</v>
      </c>
      <c r="T20" s="175"/>
      <c r="U20" s="176">
        <v>25</v>
      </c>
      <c r="V20" s="177">
        <v>332.5</v>
      </c>
      <c r="W20" s="177">
        <f t="shared" si="7"/>
        <v>13.3</v>
      </c>
      <c r="X20" s="176">
        <v>190</v>
      </c>
      <c r="Y20" s="177">
        <v>1391.1</v>
      </c>
      <c r="Z20" s="197">
        <f t="shared" si="5"/>
        <v>7.3215789473684207</v>
      </c>
      <c r="AA20" s="175"/>
      <c r="AB20" s="176"/>
      <c r="AC20" s="176"/>
      <c r="AD20" s="176"/>
      <c r="AE20" s="176"/>
      <c r="AF20" s="179"/>
      <c r="AG20" s="198">
        <v>105</v>
      </c>
      <c r="AH20" s="104">
        <v>1156.6590894909887</v>
      </c>
      <c r="AI20" s="172">
        <f t="shared" si="8"/>
        <v>11.015800852295131</v>
      </c>
      <c r="AJ20" s="199">
        <f t="shared" si="6"/>
        <v>42267.943523639951</v>
      </c>
    </row>
    <row r="21" spans="1:36" x14ac:dyDescent="0.25">
      <c r="A21" s="163">
        <v>45763</v>
      </c>
      <c r="B21" s="175">
        <v>200</v>
      </c>
      <c r="C21" s="176">
        <v>210</v>
      </c>
      <c r="D21" s="176">
        <v>205</v>
      </c>
      <c r="E21" s="176">
        <v>67</v>
      </c>
      <c r="F21" s="165">
        <v>301</v>
      </c>
      <c r="G21" s="176"/>
      <c r="H21" s="165">
        <f t="shared" si="0"/>
        <v>353.20000000000005</v>
      </c>
      <c r="I21" s="177">
        <v>18169.889563312809</v>
      </c>
      <c r="J21" s="181">
        <f t="shared" si="1"/>
        <v>51.443628435200473</v>
      </c>
      <c r="K21" s="175">
        <v>49</v>
      </c>
      <c r="L21" s="177">
        <v>3216.0114016129942</v>
      </c>
      <c r="M21" s="178">
        <f t="shared" si="2"/>
        <v>65.632885747203957</v>
      </c>
      <c r="N21" s="164">
        <v>25</v>
      </c>
      <c r="O21" s="177">
        <v>1318.4578320784465</v>
      </c>
      <c r="P21" s="178">
        <f t="shared" si="3"/>
        <v>52.738313283137856</v>
      </c>
      <c r="Q21" s="175">
        <v>75</v>
      </c>
      <c r="R21" s="177">
        <v>4220.2695193458276</v>
      </c>
      <c r="S21" s="178">
        <f t="shared" si="4"/>
        <v>56.270260257944365</v>
      </c>
      <c r="T21" s="175"/>
      <c r="U21" s="176">
        <v>35</v>
      </c>
      <c r="V21" s="177">
        <v>441.85258689283035</v>
      </c>
      <c r="W21" s="177">
        <f t="shared" si="7"/>
        <v>12.624359625509438</v>
      </c>
      <c r="X21" s="176">
        <v>183</v>
      </c>
      <c r="Y21" s="177">
        <v>909.49999999999977</v>
      </c>
      <c r="Z21" s="197">
        <f t="shared" si="5"/>
        <v>4.969945355191256</v>
      </c>
      <c r="AA21" s="175"/>
      <c r="AB21" s="176"/>
      <c r="AC21" s="176"/>
      <c r="AD21" s="176"/>
      <c r="AE21" s="176"/>
      <c r="AF21" s="179"/>
      <c r="AG21" s="198">
        <v>105</v>
      </c>
      <c r="AH21" s="104">
        <v>1204.1065853705422</v>
      </c>
      <c r="AI21" s="172">
        <f t="shared" si="8"/>
        <v>11.467681765433735</v>
      </c>
      <c r="AJ21" s="199">
        <f t="shared" si="6"/>
        <v>29480.087488613448</v>
      </c>
    </row>
    <row r="22" spans="1:36" x14ac:dyDescent="0.25">
      <c r="A22" s="163">
        <v>45764</v>
      </c>
      <c r="B22" s="175">
        <v>200</v>
      </c>
      <c r="C22" s="176">
        <v>210</v>
      </c>
      <c r="D22" s="176">
        <v>205</v>
      </c>
      <c r="E22" s="176">
        <v>54</v>
      </c>
      <c r="F22" s="165">
        <v>301</v>
      </c>
      <c r="G22" s="176"/>
      <c r="H22" s="165">
        <f t="shared" si="0"/>
        <v>348</v>
      </c>
      <c r="I22" s="177">
        <v>16724.240720323342</v>
      </c>
      <c r="J22" s="181">
        <f t="shared" si="1"/>
        <v>48.058162989434891</v>
      </c>
      <c r="K22" s="175">
        <v>48</v>
      </c>
      <c r="L22" s="177">
        <v>3065.2096168896801</v>
      </c>
      <c r="M22" s="178">
        <f t="shared" si="2"/>
        <v>63.858533685201671</v>
      </c>
      <c r="N22" s="164">
        <v>25</v>
      </c>
      <c r="O22" s="177">
        <v>1488.905211669206</v>
      </c>
      <c r="P22" s="178">
        <f t="shared" si="3"/>
        <v>59.55620846676824</v>
      </c>
      <c r="Q22" s="175">
        <v>75</v>
      </c>
      <c r="R22" s="177">
        <v>4220.2695193458276</v>
      </c>
      <c r="S22" s="178">
        <f t="shared" si="4"/>
        <v>56.270260257944365</v>
      </c>
      <c r="T22" s="175"/>
      <c r="U22" s="176">
        <v>0</v>
      </c>
      <c r="V22" s="177"/>
      <c r="W22" s="177" t="e">
        <f t="shared" si="7"/>
        <v>#DIV/0!</v>
      </c>
      <c r="X22" s="176">
        <v>179</v>
      </c>
      <c r="Y22" s="177">
        <v>1222.921951219512</v>
      </c>
      <c r="Z22" s="197">
        <f t="shared" si="5"/>
        <v>6.8319662079302352</v>
      </c>
      <c r="AA22" s="175"/>
      <c r="AB22" s="176"/>
      <c r="AC22" s="176"/>
      <c r="AD22" s="176"/>
      <c r="AE22" s="176"/>
      <c r="AF22" s="179"/>
      <c r="AG22" s="198">
        <v>105</v>
      </c>
      <c r="AH22" s="104">
        <v>1113.8469383838008</v>
      </c>
      <c r="AI22" s="172">
        <f t="shared" si="8"/>
        <v>10.608066079845722</v>
      </c>
      <c r="AJ22" s="199">
        <f t="shared" si="6"/>
        <v>27835.393957831369</v>
      </c>
    </row>
    <row r="23" spans="1:36" x14ac:dyDescent="0.25">
      <c r="A23" s="163">
        <v>45765</v>
      </c>
      <c r="B23" s="175">
        <v>85</v>
      </c>
      <c r="C23" s="176">
        <v>95</v>
      </c>
      <c r="D23" s="176">
        <v>85</v>
      </c>
      <c r="E23" s="176">
        <v>56</v>
      </c>
      <c r="F23" s="165">
        <v>281</v>
      </c>
      <c r="G23" s="176"/>
      <c r="H23" s="165">
        <f t="shared" si="0"/>
        <v>223.8</v>
      </c>
      <c r="I23" s="177">
        <v>10919.43418676586</v>
      </c>
      <c r="J23" s="181">
        <f t="shared" si="1"/>
        <v>48.791037474378285</v>
      </c>
      <c r="K23" s="175">
        <v>46</v>
      </c>
      <c r="L23" s="177">
        <v>2648.6626836876048</v>
      </c>
      <c r="M23" s="178">
        <f t="shared" si="2"/>
        <v>57.579623558426192</v>
      </c>
      <c r="N23" s="164">
        <v>25</v>
      </c>
      <c r="O23" s="177">
        <v>1423.5637067638686</v>
      </c>
      <c r="P23" s="178">
        <f t="shared" si="3"/>
        <v>56.942548270554745</v>
      </c>
      <c r="Q23" s="175">
        <v>75</v>
      </c>
      <c r="R23" s="177">
        <v>4178.6426027967273</v>
      </c>
      <c r="S23" s="178">
        <f t="shared" si="4"/>
        <v>55.715234703956362</v>
      </c>
      <c r="T23" s="175"/>
      <c r="U23" s="176">
        <v>0</v>
      </c>
      <c r="V23" s="177"/>
      <c r="W23" s="177" t="e">
        <f t="shared" si="7"/>
        <v>#DIV/0!</v>
      </c>
      <c r="X23" s="176">
        <v>40</v>
      </c>
      <c r="Y23" s="177">
        <v>223.57942075721519</v>
      </c>
      <c r="Z23" s="197">
        <f t="shared" si="5"/>
        <v>5.5894855189303794</v>
      </c>
      <c r="AA23" s="175"/>
      <c r="AB23" s="176"/>
      <c r="AC23" s="176"/>
      <c r="AD23" s="176"/>
      <c r="AE23" s="176"/>
      <c r="AF23" s="179"/>
      <c r="AG23" s="198">
        <v>105</v>
      </c>
      <c r="AH23" s="104">
        <v>1179.3769631377231</v>
      </c>
      <c r="AI23" s="172">
        <f t="shared" si="8"/>
        <v>11.232161553692601</v>
      </c>
      <c r="AJ23" s="199">
        <f t="shared" si="6"/>
        <v>20573.259563908996</v>
      </c>
    </row>
    <row r="24" spans="1:36" x14ac:dyDescent="0.25">
      <c r="A24" s="163">
        <v>45766</v>
      </c>
      <c r="B24" s="175">
        <v>85</v>
      </c>
      <c r="C24" s="176">
        <v>95</v>
      </c>
      <c r="D24" s="176">
        <v>85</v>
      </c>
      <c r="E24" s="176">
        <v>57</v>
      </c>
      <c r="F24" s="165">
        <v>281</v>
      </c>
      <c r="G24" s="176"/>
      <c r="H24" s="165">
        <f t="shared" si="0"/>
        <v>224.20000000000002</v>
      </c>
      <c r="I24" s="177">
        <v>14201.35655703323</v>
      </c>
      <c r="J24" s="181">
        <f t="shared" si="1"/>
        <v>63.342357524679883</v>
      </c>
      <c r="K24" s="175">
        <v>48</v>
      </c>
      <c r="L24" s="177">
        <v>2566.9132349677138</v>
      </c>
      <c r="M24" s="178">
        <f t="shared" si="2"/>
        <v>53.477359061827372</v>
      </c>
      <c r="N24" s="164">
        <v>25</v>
      </c>
      <c r="O24" s="177">
        <v>1373.6922504580116</v>
      </c>
      <c r="P24" s="178">
        <f t="shared" si="3"/>
        <v>54.947690018320465</v>
      </c>
      <c r="Q24" s="175">
        <v>75</v>
      </c>
      <c r="R24" s="177">
        <v>4151.8547379226638</v>
      </c>
      <c r="S24" s="178">
        <f t="shared" si="4"/>
        <v>55.358063172302188</v>
      </c>
      <c r="T24" s="175"/>
      <c r="U24" s="176"/>
      <c r="V24" s="177"/>
      <c r="W24" s="177" t="e">
        <f t="shared" si="7"/>
        <v>#DIV/0!</v>
      </c>
      <c r="X24" s="176">
        <v>32</v>
      </c>
      <c r="Y24" s="177">
        <v>220.49999999999997</v>
      </c>
      <c r="Z24" s="197">
        <f t="shared" si="5"/>
        <v>6.8906249999999991</v>
      </c>
      <c r="AA24" s="175"/>
      <c r="AB24" s="176"/>
      <c r="AC24" s="176"/>
      <c r="AD24" s="176"/>
      <c r="AE24" s="176"/>
      <c r="AF24" s="179"/>
      <c r="AG24" s="198">
        <v>105</v>
      </c>
      <c r="AH24" s="104">
        <v>1252.6145813162832</v>
      </c>
      <c r="AI24" s="172">
        <f t="shared" si="8"/>
        <v>11.929662679202696</v>
      </c>
      <c r="AJ24" s="199">
        <f t="shared" si="6"/>
        <v>23766.931361697902</v>
      </c>
    </row>
    <row r="25" spans="1:36" x14ac:dyDescent="0.25">
      <c r="A25" s="163">
        <v>45767</v>
      </c>
      <c r="B25" s="175">
        <v>200</v>
      </c>
      <c r="C25" s="176">
        <v>210</v>
      </c>
      <c r="D25" s="176">
        <v>205</v>
      </c>
      <c r="E25" s="176">
        <v>54</v>
      </c>
      <c r="F25" s="165">
        <v>301</v>
      </c>
      <c r="G25" s="176">
        <v>245</v>
      </c>
      <c r="H25" s="165">
        <f t="shared" si="0"/>
        <v>348</v>
      </c>
      <c r="I25" s="177">
        <v>18217.022223352513</v>
      </c>
      <c r="J25" s="181">
        <f t="shared" si="1"/>
        <v>52.347765009633655</v>
      </c>
      <c r="K25" s="175">
        <v>48</v>
      </c>
      <c r="L25" s="177">
        <v>2765.3667142592376</v>
      </c>
      <c r="M25" s="178">
        <f t="shared" si="2"/>
        <v>57.611806547067452</v>
      </c>
      <c r="N25" s="164">
        <v>25</v>
      </c>
      <c r="O25" s="177">
        <v>1492.7325311188724</v>
      </c>
      <c r="P25" s="178">
        <f t="shared" si="3"/>
        <v>59.709301244754897</v>
      </c>
      <c r="Q25" s="175">
        <v>75</v>
      </c>
      <c r="R25" s="177">
        <v>3817.6290948905053</v>
      </c>
      <c r="S25" s="178">
        <f t="shared" si="4"/>
        <v>50.901721265206739</v>
      </c>
      <c r="T25" s="175"/>
      <c r="U25" s="176">
        <v>85</v>
      </c>
      <c r="V25" s="177">
        <v>1146.9074169881351</v>
      </c>
      <c r="W25" s="177">
        <f t="shared" si="7"/>
        <v>13.49302843515453</v>
      </c>
      <c r="X25" s="176">
        <v>199</v>
      </c>
      <c r="Y25" s="177">
        <v>1317.6000000000001</v>
      </c>
      <c r="Z25" s="197">
        <f t="shared" si="5"/>
        <v>6.6211055276381918</v>
      </c>
      <c r="AA25" s="175"/>
      <c r="AB25" s="176"/>
      <c r="AC25" s="176"/>
      <c r="AD25" s="176"/>
      <c r="AE25" s="176"/>
      <c r="AF25" s="179"/>
      <c r="AG25" s="198">
        <v>105</v>
      </c>
      <c r="AH25" s="104">
        <v>1114.5566701759503</v>
      </c>
      <c r="AI25" s="172">
        <f t="shared" si="8"/>
        <v>10.614825430247146</v>
      </c>
      <c r="AJ25" s="199">
        <f t="shared" si="6"/>
        <v>29871.814650785211</v>
      </c>
    </row>
    <row r="26" spans="1:36" x14ac:dyDescent="0.25">
      <c r="A26" s="163">
        <v>45768</v>
      </c>
      <c r="B26" s="175">
        <v>200</v>
      </c>
      <c r="C26" s="176">
        <v>210</v>
      </c>
      <c r="D26" s="176">
        <v>207</v>
      </c>
      <c r="E26" s="176">
        <v>58</v>
      </c>
      <c r="F26" s="165">
        <v>301</v>
      </c>
      <c r="G26" s="176"/>
      <c r="H26" s="165">
        <f t="shared" si="0"/>
        <v>350.40000000000003</v>
      </c>
      <c r="I26" s="177">
        <v>22670.12881783802</v>
      </c>
      <c r="J26" s="181">
        <f t="shared" si="1"/>
        <v>64.697856215291154</v>
      </c>
      <c r="K26" s="175">
        <v>48</v>
      </c>
      <c r="L26" s="177">
        <v>2689.8584389770604</v>
      </c>
      <c r="M26" s="178">
        <f t="shared" si="2"/>
        <v>56.03871747868876</v>
      </c>
      <c r="N26" s="164">
        <v>25</v>
      </c>
      <c r="O26" s="177">
        <v>1330.3442165667609</v>
      </c>
      <c r="P26" s="178">
        <f t="shared" si="3"/>
        <v>53.213768662670439</v>
      </c>
      <c r="Q26" s="175">
        <v>75</v>
      </c>
      <c r="R26" s="177">
        <v>4220.2695193458276</v>
      </c>
      <c r="S26" s="178">
        <f t="shared" si="4"/>
        <v>56.270260257944365</v>
      </c>
      <c r="T26" s="175"/>
      <c r="U26" s="176">
        <v>15</v>
      </c>
      <c r="V26" s="177">
        <v>207.47110523450263</v>
      </c>
      <c r="W26" s="177">
        <f t="shared" si="7"/>
        <v>13.831407015633509</v>
      </c>
      <c r="X26" s="176">
        <v>187</v>
      </c>
      <c r="Y26" s="177">
        <v>1315.0536585365853</v>
      </c>
      <c r="Z26" s="197">
        <f t="shared" si="5"/>
        <v>7.0323725055432371</v>
      </c>
      <c r="AA26" s="175"/>
      <c r="AB26" s="176"/>
      <c r="AC26" s="176"/>
      <c r="AD26" s="176"/>
      <c r="AE26" s="176"/>
      <c r="AF26" s="179"/>
      <c r="AG26" s="198">
        <v>105</v>
      </c>
      <c r="AH26" s="104">
        <v>1192.6638887159845</v>
      </c>
      <c r="AI26" s="172">
        <f t="shared" si="8"/>
        <v>11.358703702056996</v>
      </c>
      <c r="AJ26" s="199">
        <f t="shared" si="6"/>
        <v>33625.78964521474</v>
      </c>
    </row>
    <row r="27" spans="1:36" x14ac:dyDescent="0.25">
      <c r="A27" s="163">
        <v>45769</v>
      </c>
      <c r="B27" s="175">
        <v>200</v>
      </c>
      <c r="C27" s="176">
        <v>210</v>
      </c>
      <c r="D27" s="176">
        <v>205</v>
      </c>
      <c r="E27" s="176">
        <v>49</v>
      </c>
      <c r="F27" s="165">
        <v>301</v>
      </c>
      <c r="G27" s="176"/>
      <c r="H27" s="165">
        <f t="shared" si="0"/>
        <v>346</v>
      </c>
      <c r="I27" s="177">
        <v>22774.969465297287</v>
      </c>
      <c r="J27" s="181">
        <f t="shared" si="1"/>
        <v>65.82361117137944</v>
      </c>
      <c r="K27" s="175">
        <v>49</v>
      </c>
      <c r="L27" s="177">
        <v>2780.3153418239035</v>
      </c>
      <c r="M27" s="178">
        <f t="shared" si="2"/>
        <v>56.741129424977622</v>
      </c>
      <c r="N27" s="164">
        <v>25</v>
      </c>
      <c r="O27" s="177">
        <v>1206.7128067303813</v>
      </c>
      <c r="P27" s="178">
        <f t="shared" si="3"/>
        <v>48.26851226921525</v>
      </c>
      <c r="Q27" s="175">
        <v>75</v>
      </c>
      <c r="R27" s="177">
        <v>4862.5664604599842</v>
      </c>
      <c r="S27" s="178">
        <f t="shared" si="4"/>
        <v>64.834219472799788</v>
      </c>
      <c r="T27" s="175"/>
      <c r="U27" s="176">
        <v>12</v>
      </c>
      <c r="V27" s="177">
        <v>148.7437525423729</v>
      </c>
      <c r="W27" s="177">
        <f t="shared" si="7"/>
        <v>12.395312711864408</v>
      </c>
      <c r="X27" s="176">
        <v>185</v>
      </c>
      <c r="Y27" s="177">
        <v>1230.7268292682927</v>
      </c>
      <c r="Z27" s="197">
        <f t="shared" si="5"/>
        <v>6.6525774555042849</v>
      </c>
      <c r="AA27" s="175"/>
      <c r="AB27" s="176"/>
      <c r="AC27" s="176"/>
      <c r="AD27" s="176"/>
      <c r="AE27" s="176"/>
      <c r="AF27" s="179"/>
      <c r="AG27" s="198">
        <v>105</v>
      </c>
      <c r="AH27" s="104">
        <v>1227.950619636382</v>
      </c>
      <c r="AI27" s="172">
        <f t="shared" si="8"/>
        <v>11.694767806060781</v>
      </c>
      <c r="AJ27" s="199">
        <f t="shared" si="6"/>
        <v>34231.985275758605</v>
      </c>
    </row>
    <row r="28" spans="1:36" x14ac:dyDescent="0.25">
      <c r="A28" s="163">
        <v>45770</v>
      </c>
      <c r="B28" s="175">
        <v>200</v>
      </c>
      <c r="C28" s="176">
        <v>210</v>
      </c>
      <c r="D28" s="176">
        <v>205</v>
      </c>
      <c r="E28" s="176">
        <v>54</v>
      </c>
      <c r="F28" s="165">
        <v>332</v>
      </c>
      <c r="G28" s="176"/>
      <c r="H28" s="165">
        <f t="shared" si="0"/>
        <v>360.40000000000003</v>
      </c>
      <c r="I28" s="177">
        <v>32084.84716247311</v>
      </c>
      <c r="J28" s="181">
        <f t="shared" si="1"/>
        <v>89.025658053476988</v>
      </c>
      <c r="K28" s="175">
        <v>49</v>
      </c>
      <c r="L28" s="177">
        <v>3030.5066469951562</v>
      </c>
      <c r="M28" s="178">
        <f t="shared" si="2"/>
        <v>61.847074428472574</v>
      </c>
      <c r="N28" s="164">
        <v>25</v>
      </c>
      <c r="O28" s="177">
        <v>1465.9485062109748</v>
      </c>
      <c r="P28" s="178">
        <f t="shared" si="3"/>
        <v>58.637940248438987</v>
      </c>
      <c r="Q28" s="175">
        <v>75</v>
      </c>
      <c r="R28" s="177">
        <v>4585.1719505937053</v>
      </c>
      <c r="S28" s="178">
        <f t="shared" si="4"/>
        <v>61.135626007916073</v>
      </c>
      <c r="T28" s="175"/>
      <c r="U28" s="176">
        <v>12</v>
      </c>
      <c r="V28" s="177">
        <v>173.53437796610172</v>
      </c>
      <c r="W28" s="177">
        <f t="shared" si="7"/>
        <v>14.461198163841809</v>
      </c>
      <c r="X28" s="176">
        <v>185</v>
      </c>
      <c r="Y28" s="177">
        <v>1280.5268292682927</v>
      </c>
      <c r="Z28" s="197">
        <f t="shared" si="5"/>
        <v>6.9217666446934736</v>
      </c>
      <c r="AA28" s="175"/>
      <c r="AB28" s="176"/>
      <c r="AC28" s="176"/>
      <c r="AD28" s="176"/>
      <c r="AE28" s="176"/>
      <c r="AF28" s="179"/>
      <c r="AG28" s="201">
        <v>105</v>
      </c>
      <c r="AH28" s="104">
        <v>1164.5274632516762</v>
      </c>
      <c r="AI28" s="172">
        <f t="shared" si="8"/>
        <v>11.090737745254058</v>
      </c>
      <c r="AJ28" s="199">
        <f t="shared" si="6"/>
        <v>43785.062936759023</v>
      </c>
    </row>
    <row r="29" spans="1:36" x14ac:dyDescent="0.25">
      <c r="A29" s="163">
        <v>45771</v>
      </c>
      <c r="B29" s="175">
        <v>200</v>
      </c>
      <c r="C29" s="176">
        <v>210</v>
      </c>
      <c r="D29" s="176">
        <v>205</v>
      </c>
      <c r="E29" s="176">
        <v>51</v>
      </c>
      <c r="F29" s="165">
        <v>331</v>
      </c>
      <c r="G29" s="176"/>
      <c r="H29" s="165">
        <f t="shared" si="0"/>
        <v>358.8</v>
      </c>
      <c r="I29" s="177">
        <v>23563.378782249278</v>
      </c>
      <c r="J29" s="181">
        <f t="shared" si="1"/>
        <v>65.672739080962316</v>
      </c>
      <c r="K29" s="175">
        <v>44</v>
      </c>
      <c r="L29" s="177">
        <v>2375.6384984103152</v>
      </c>
      <c r="M29" s="178">
        <f t="shared" si="2"/>
        <v>53.991784054779892</v>
      </c>
      <c r="N29" s="164">
        <v>25</v>
      </c>
      <c r="O29" s="177">
        <v>1239.9583900435512</v>
      </c>
      <c r="P29" s="178">
        <f t="shared" si="3"/>
        <v>49.598335601742043</v>
      </c>
      <c r="Q29" s="175">
        <v>75</v>
      </c>
      <c r="R29" s="177">
        <v>3479.39336406548</v>
      </c>
      <c r="S29" s="178">
        <f t="shared" si="4"/>
        <v>46.391911520873066</v>
      </c>
      <c r="T29" s="175"/>
      <c r="U29" s="176">
        <v>12</v>
      </c>
      <c r="V29" s="177">
        <v>156</v>
      </c>
      <c r="W29" s="177">
        <f t="shared" si="7"/>
        <v>13</v>
      </c>
      <c r="X29" s="176">
        <v>185</v>
      </c>
      <c r="Y29" s="177">
        <v>1133.0268292682927</v>
      </c>
      <c r="Z29" s="197">
        <f t="shared" si="5"/>
        <v>6.1244693473961762</v>
      </c>
      <c r="AA29" s="175"/>
      <c r="AB29" s="176"/>
      <c r="AC29" s="176"/>
      <c r="AD29" s="176"/>
      <c r="AE29" s="176"/>
      <c r="AF29" s="179"/>
      <c r="AG29" s="201">
        <v>105</v>
      </c>
      <c r="AH29" s="104">
        <v>1197.1703718321423</v>
      </c>
      <c r="AI29" s="172">
        <f t="shared" si="8"/>
        <v>11.401622588877546</v>
      </c>
      <c r="AJ29" s="199">
        <f t="shared" si="6"/>
        <v>33144.566235869061</v>
      </c>
    </row>
    <row r="30" spans="1:36" x14ac:dyDescent="0.25">
      <c r="A30" s="163">
        <v>45772</v>
      </c>
      <c r="B30" s="175">
        <v>85</v>
      </c>
      <c r="C30" s="176">
        <v>95</v>
      </c>
      <c r="D30" s="176">
        <v>85</v>
      </c>
      <c r="E30" s="176">
        <v>44</v>
      </c>
      <c r="F30" s="165">
        <v>286</v>
      </c>
      <c r="G30" s="176"/>
      <c r="H30" s="165">
        <f t="shared" si="0"/>
        <v>221</v>
      </c>
      <c r="I30" s="177">
        <v>21261.520213558772</v>
      </c>
      <c r="J30" s="181">
        <f t="shared" si="1"/>
        <v>96.205973817008015</v>
      </c>
      <c r="K30" s="175">
        <v>46</v>
      </c>
      <c r="L30" s="177">
        <v>2769.2183908045977</v>
      </c>
      <c r="M30" s="178">
        <f t="shared" si="2"/>
        <v>60.200399800099952</v>
      </c>
      <c r="N30" s="164">
        <v>25</v>
      </c>
      <c r="O30" s="177">
        <v>1280.3158254376367</v>
      </c>
      <c r="P30" s="178">
        <f t="shared" si="3"/>
        <v>51.212633017505468</v>
      </c>
      <c r="Q30" s="175">
        <v>75</v>
      </c>
      <c r="R30" s="177">
        <v>4483.8789629452785</v>
      </c>
      <c r="S30" s="178">
        <f t="shared" si="4"/>
        <v>59.785052839270378</v>
      </c>
      <c r="T30" s="175"/>
      <c r="U30" s="176">
        <v>32</v>
      </c>
      <c r="V30" s="177">
        <v>414.94221046900526</v>
      </c>
      <c r="W30" s="177">
        <f t="shared" si="7"/>
        <v>12.966944077156414</v>
      </c>
      <c r="X30" s="176">
        <v>32</v>
      </c>
      <c r="Y30" s="177">
        <v>223.29999999999995</v>
      </c>
      <c r="Z30" s="197">
        <f t="shared" si="5"/>
        <v>6.9781249999999986</v>
      </c>
      <c r="AA30" s="175"/>
      <c r="AB30" s="176"/>
      <c r="AC30" s="176"/>
      <c r="AD30" s="176"/>
      <c r="AE30" s="176"/>
      <c r="AF30" s="179"/>
      <c r="AG30" s="201">
        <v>105</v>
      </c>
      <c r="AH30" s="104">
        <v>1229.4506804886462</v>
      </c>
      <c r="AI30" s="172">
        <f t="shared" si="8"/>
        <v>11.709054099891869</v>
      </c>
      <c r="AJ30" s="199">
        <f t="shared" si="6"/>
        <v>31662.626283703939</v>
      </c>
    </row>
    <row r="31" spans="1:36" x14ac:dyDescent="0.25">
      <c r="A31" s="163">
        <v>45773</v>
      </c>
      <c r="B31" s="175">
        <v>85</v>
      </c>
      <c r="C31" s="176">
        <v>95</v>
      </c>
      <c r="D31" s="176">
        <v>85</v>
      </c>
      <c r="E31" s="176">
        <v>51</v>
      </c>
      <c r="F31" s="165">
        <v>286</v>
      </c>
      <c r="G31" s="176"/>
      <c r="H31" s="165">
        <f t="shared" si="0"/>
        <v>223.8</v>
      </c>
      <c r="I31" s="177">
        <v>16538.472843303774</v>
      </c>
      <c r="J31" s="181">
        <f t="shared" si="1"/>
        <v>73.898448808327856</v>
      </c>
      <c r="K31" s="175">
        <v>45</v>
      </c>
      <c r="L31" s="177">
        <v>3108.9992598675003</v>
      </c>
      <c r="M31" s="178">
        <f t="shared" si="2"/>
        <v>69.088872441500001</v>
      </c>
      <c r="N31" s="164">
        <v>25</v>
      </c>
      <c r="O31" s="177">
        <v>1354.3847602483011</v>
      </c>
      <c r="P31" s="178">
        <f t="shared" si="3"/>
        <v>54.175390409932042</v>
      </c>
      <c r="Q31" s="175">
        <v>75</v>
      </c>
      <c r="R31" s="177">
        <v>4514.9660822157985</v>
      </c>
      <c r="S31" s="178">
        <f t="shared" si="4"/>
        <v>60.199547762877316</v>
      </c>
      <c r="T31" s="175"/>
      <c r="U31" s="176">
        <v>32</v>
      </c>
      <c r="V31" s="176">
        <v>416</v>
      </c>
      <c r="W31" s="177">
        <f t="shared" si="7"/>
        <v>13</v>
      </c>
      <c r="X31" s="176">
        <v>32</v>
      </c>
      <c r="Y31" s="177">
        <v>223.29999999999995</v>
      </c>
      <c r="Z31" s="197">
        <f t="shared" si="5"/>
        <v>6.9781249999999986</v>
      </c>
      <c r="AA31" s="175"/>
      <c r="AB31" s="176"/>
      <c r="AC31" s="176"/>
      <c r="AD31" s="176"/>
      <c r="AE31" s="176"/>
      <c r="AF31" s="179"/>
      <c r="AG31" s="201">
        <v>105</v>
      </c>
      <c r="AH31" s="104">
        <v>1257.0740128366197</v>
      </c>
      <c r="AI31" s="172">
        <f t="shared" si="8"/>
        <v>11.972133455586853</v>
      </c>
      <c r="AJ31" s="199">
        <f t="shared" si="6"/>
        <v>27413.196958471992</v>
      </c>
    </row>
    <row r="32" spans="1:36" x14ac:dyDescent="0.25">
      <c r="A32" s="163">
        <v>45774</v>
      </c>
      <c r="B32" s="175">
        <v>200</v>
      </c>
      <c r="C32" s="176">
        <v>210</v>
      </c>
      <c r="D32" s="176">
        <v>221</v>
      </c>
      <c r="E32" s="176">
        <v>54</v>
      </c>
      <c r="F32" s="165">
        <v>301</v>
      </c>
      <c r="G32" s="176"/>
      <c r="H32" s="165">
        <f>B32*0.2+SUM(C32:F32)*0.4</f>
        <v>354.40000000000003</v>
      </c>
      <c r="I32" s="177">
        <v>30469.357606796795</v>
      </c>
      <c r="J32" s="181">
        <f t="shared" si="1"/>
        <v>85.974485346492074</v>
      </c>
      <c r="K32" s="175">
        <v>44</v>
      </c>
      <c r="L32" s="177">
        <v>3333.2357784146088</v>
      </c>
      <c r="M32" s="178">
        <f t="shared" si="2"/>
        <v>75.755358600332016</v>
      </c>
      <c r="N32" s="175">
        <v>25</v>
      </c>
      <c r="O32" s="177">
        <v>1377.0896799720981</v>
      </c>
      <c r="P32" s="178">
        <f t="shared" si="3"/>
        <v>55.083587198883926</v>
      </c>
      <c r="Q32" s="175">
        <v>75</v>
      </c>
      <c r="R32" s="177">
        <v>4599.6080560970486</v>
      </c>
      <c r="S32" s="178">
        <f t="shared" si="4"/>
        <v>61.328107414627311</v>
      </c>
      <c r="T32" s="175"/>
      <c r="U32" s="176">
        <v>52</v>
      </c>
      <c r="V32" s="177">
        <v>697.07443416037961</v>
      </c>
      <c r="W32" s="177">
        <f t="shared" si="7"/>
        <v>13.405277580007301</v>
      </c>
      <c r="X32" s="176">
        <v>185</v>
      </c>
      <c r="Y32" s="177">
        <v>1229.3281372881356</v>
      </c>
      <c r="Z32" s="197">
        <f t="shared" si="5"/>
        <v>6.6450169583142467</v>
      </c>
      <c r="AA32" s="175"/>
      <c r="AB32" s="176"/>
      <c r="AC32" s="176"/>
      <c r="AD32" s="176"/>
      <c r="AE32" s="176"/>
      <c r="AF32" s="179"/>
      <c r="AG32" s="201">
        <v>105</v>
      </c>
      <c r="AH32" s="104">
        <v>1266.2554588270391</v>
      </c>
      <c r="AI32" s="172">
        <f t="shared" si="8"/>
        <v>12.059575798352753</v>
      </c>
      <c r="AJ32" s="199">
        <f t="shared" si="6"/>
        <v>42971.949151556102</v>
      </c>
    </row>
    <row r="33" spans="1:36" x14ac:dyDescent="0.25">
      <c r="A33" s="163">
        <v>45775</v>
      </c>
      <c r="B33" s="175">
        <v>200</v>
      </c>
      <c r="C33" s="176">
        <v>210</v>
      </c>
      <c r="D33" s="185">
        <v>212</v>
      </c>
      <c r="E33" s="185">
        <v>55</v>
      </c>
      <c r="F33" s="165">
        <v>306</v>
      </c>
      <c r="G33" s="185">
        <v>140</v>
      </c>
      <c r="H33" s="165">
        <f>B33*0.2+SUM(C33:F33)*0.4</f>
        <v>353.20000000000005</v>
      </c>
      <c r="I33" s="187">
        <v>28638.059710892412</v>
      </c>
      <c r="J33" s="181">
        <f t="shared" si="1"/>
        <v>81.081709260737284</v>
      </c>
      <c r="K33" s="184">
        <v>45</v>
      </c>
      <c r="L33" s="187">
        <v>3337.5859752968527</v>
      </c>
      <c r="M33" s="178">
        <f t="shared" si="2"/>
        <v>74.168577228818947</v>
      </c>
      <c r="N33" s="175">
        <v>25</v>
      </c>
      <c r="O33" s="187">
        <v>1537.4204837573636</v>
      </c>
      <c r="P33" s="178">
        <f t="shared" si="3"/>
        <v>61.496819350294544</v>
      </c>
      <c r="Q33" s="175">
        <v>75</v>
      </c>
      <c r="R33" s="187">
        <v>4487.5662944045116</v>
      </c>
      <c r="S33" s="178">
        <f t="shared" si="4"/>
        <v>59.834217258726824</v>
      </c>
      <c r="T33" s="184"/>
      <c r="U33" s="185">
        <v>172</v>
      </c>
      <c r="V33" s="187">
        <v>2375.0971558495748</v>
      </c>
      <c r="W33" s="177">
        <f t="shared" si="7"/>
        <v>13.808704394474272</v>
      </c>
      <c r="X33" s="185">
        <v>230</v>
      </c>
      <c r="Y33" s="187">
        <v>1667.2</v>
      </c>
      <c r="Z33" s="197">
        <f t="shared" si="5"/>
        <v>7.2486956521739137</v>
      </c>
      <c r="AA33" s="184"/>
      <c r="AB33" s="185"/>
      <c r="AC33" s="185"/>
      <c r="AD33" s="185"/>
      <c r="AE33" s="185"/>
      <c r="AF33" s="188"/>
      <c r="AG33" s="201">
        <v>105</v>
      </c>
      <c r="AH33" s="190">
        <v>1260.3278205723905</v>
      </c>
      <c r="AI33" s="172">
        <f t="shared" si="8"/>
        <v>12.003122100689433</v>
      </c>
      <c r="AJ33" s="199">
        <f t="shared" si="6"/>
        <v>43303.257440773101</v>
      </c>
    </row>
    <row r="34" spans="1:36" x14ac:dyDescent="0.25">
      <c r="A34" s="163">
        <v>45776</v>
      </c>
      <c r="B34" s="175">
        <v>200</v>
      </c>
      <c r="C34" s="176">
        <v>210</v>
      </c>
      <c r="D34" s="185">
        <v>205</v>
      </c>
      <c r="E34" s="185">
        <v>57</v>
      </c>
      <c r="F34" s="165">
        <v>359</v>
      </c>
      <c r="G34" s="185">
        <v>6</v>
      </c>
      <c r="H34" s="165">
        <f>B34*0.2+SUM(C34:F34)*0.4</f>
        <v>372.40000000000003</v>
      </c>
      <c r="I34" s="187">
        <v>31627.690395503927</v>
      </c>
      <c r="J34" s="181">
        <f t="shared" si="1"/>
        <v>84.929351223157695</v>
      </c>
      <c r="K34" s="184">
        <v>46</v>
      </c>
      <c r="L34" s="187">
        <v>3395.128887122416</v>
      </c>
      <c r="M34" s="178">
        <f t="shared" si="2"/>
        <v>73.807149720052522</v>
      </c>
      <c r="N34" s="175">
        <v>25</v>
      </c>
      <c r="O34" s="187">
        <v>1339.0460464052931</v>
      </c>
      <c r="P34" s="178">
        <f t="shared" si="3"/>
        <v>53.561841856211721</v>
      </c>
      <c r="Q34" s="175">
        <v>75</v>
      </c>
      <c r="R34" s="187">
        <v>4397.5399001181122</v>
      </c>
      <c r="S34" s="178">
        <f t="shared" si="4"/>
        <v>58.633865334908165</v>
      </c>
      <c r="T34" s="184"/>
      <c r="U34" s="185">
        <v>52</v>
      </c>
      <c r="V34" s="187">
        <v>731.43202964182797</v>
      </c>
      <c r="W34" s="177">
        <f t="shared" si="7"/>
        <v>14.066000570035154</v>
      </c>
      <c r="X34" s="185">
        <v>192</v>
      </c>
      <c r="Y34" s="187">
        <v>1284.5536585365853</v>
      </c>
      <c r="Z34" s="197">
        <f t="shared" si="5"/>
        <v>6.6903836382113822</v>
      </c>
      <c r="AA34" s="184"/>
      <c r="AB34" s="185"/>
      <c r="AC34" s="185"/>
      <c r="AD34" s="185"/>
      <c r="AE34" s="185"/>
      <c r="AF34" s="188"/>
      <c r="AG34" s="201">
        <v>105</v>
      </c>
      <c r="AH34" s="190">
        <v>1215.9455699792468</v>
      </c>
      <c r="AI34" s="172">
        <f t="shared" si="8"/>
        <v>11.58043399980235</v>
      </c>
      <c r="AJ34" s="199">
        <f t="shared" si="6"/>
        <v>43991.33648730741</v>
      </c>
    </row>
    <row r="35" spans="1:36" ht="15.75" thickBot="1" x14ac:dyDescent="0.3">
      <c r="A35" s="163">
        <v>45777</v>
      </c>
      <c r="B35" s="175">
        <v>200</v>
      </c>
      <c r="C35" s="176">
        <v>210</v>
      </c>
      <c r="D35" s="185">
        <v>205</v>
      </c>
      <c r="E35" s="185">
        <v>38</v>
      </c>
      <c r="F35" s="165">
        <v>306</v>
      </c>
      <c r="G35" s="185"/>
      <c r="H35" s="165">
        <f>B35*0.2+SUM(C35:F35)*0.4</f>
        <v>343.6</v>
      </c>
      <c r="I35" s="187">
        <v>32270.952222374897</v>
      </c>
      <c r="J35" s="181">
        <f t="shared" si="1"/>
        <v>93.920117061626584</v>
      </c>
      <c r="K35" s="184">
        <v>46</v>
      </c>
      <c r="L35" s="187">
        <v>4090.3524760028986</v>
      </c>
      <c r="M35" s="178">
        <f t="shared" si="2"/>
        <v>88.920706000063007</v>
      </c>
      <c r="N35" s="175">
        <v>25</v>
      </c>
      <c r="O35" s="187">
        <v>1482.0883791182023</v>
      </c>
      <c r="P35" s="178">
        <f t="shared" si="3"/>
        <v>59.283535164728093</v>
      </c>
      <c r="Q35" s="175">
        <v>75</v>
      </c>
      <c r="R35" s="187">
        <v>5640.6514953881033</v>
      </c>
      <c r="S35" s="178">
        <f t="shared" si="4"/>
        <v>75.208686605174705</v>
      </c>
      <c r="T35" s="184"/>
      <c r="U35" s="185">
        <v>32</v>
      </c>
      <c r="V35" s="185">
        <v>440.5040022756005</v>
      </c>
      <c r="W35" s="177">
        <f t="shared" si="7"/>
        <v>13.765750071112516</v>
      </c>
      <c r="X35" s="185">
        <v>190</v>
      </c>
      <c r="Y35" s="187">
        <v>1556.5268292682927</v>
      </c>
      <c r="Z35" s="197">
        <f t="shared" si="5"/>
        <v>8.192246469833119</v>
      </c>
      <c r="AA35" s="184"/>
      <c r="AB35" s="185"/>
      <c r="AC35" s="185"/>
      <c r="AD35" s="185"/>
      <c r="AE35" s="185"/>
      <c r="AF35" s="188"/>
      <c r="AG35" s="201">
        <v>105</v>
      </c>
      <c r="AH35" s="190">
        <v>1561.3385671889544</v>
      </c>
      <c r="AI35" s="172">
        <f t="shared" si="8"/>
        <v>14.869891116085279</v>
      </c>
      <c r="AJ35" s="199">
        <f t="shared" si="6"/>
        <v>47042.413971616959</v>
      </c>
    </row>
    <row r="36" spans="1:36" s="39" customFormat="1" ht="26.25" thickBot="1" x14ac:dyDescent="0.3">
      <c r="A36" s="202" t="s">
        <v>77</v>
      </c>
      <c r="B36" s="195">
        <f t="shared" ref="B36:I36" si="9">SUM(B6:B35)</f>
        <v>5080</v>
      </c>
      <c r="C36" s="195">
        <f t="shared" si="9"/>
        <v>5380</v>
      </c>
      <c r="D36" s="195">
        <f t="shared" si="9"/>
        <v>5234</v>
      </c>
      <c r="E36" s="195">
        <f t="shared" si="9"/>
        <v>1645</v>
      </c>
      <c r="F36" s="195">
        <f t="shared" si="9"/>
        <v>9014</v>
      </c>
      <c r="G36" s="195">
        <f t="shared" si="9"/>
        <v>524</v>
      </c>
      <c r="H36" s="195">
        <f t="shared" si="9"/>
        <v>9525.2000000000007</v>
      </c>
      <c r="I36" s="195">
        <f t="shared" si="9"/>
        <v>651883.3498524857</v>
      </c>
      <c r="J36" s="195">
        <f>I36/H36</f>
        <v>68.437759821577046</v>
      </c>
      <c r="K36" s="195">
        <f>SUM(K6:K35)</f>
        <v>1418</v>
      </c>
      <c r="L36" s="195">
        <f>SUM(L6:L35)</f>
        <v>84459.940459394144</v>
      </c>
      <c r="M36" s="195">
        <f>L36/K36</f>
        <v>59.562722467837901</v>
      </c>
      <c r="N36" s="195">
        <f>SUM(N6:N35)</f>
        <v>750</v>
      </c>
      <c r="O36" s="195">
        <f>SUM(O6:O35)</f>
        <v>41201.343323062101</v>
      </c>
      <c r="P36" s="195">
        <f>O36/N36</f>
        <v>54.935124430749468</v>
      </c>
      <c r="Q36" s="195">
        <f>SUM(Q6:Q35)</f>
        <v>2250</v>
      </c>
      <c r="R36" s="195">
        <f>SUM(R6:R35)</f>
        <v>128217.1540759398</v>
      </c>
      <c r="S36" s="195">
        <f>R36/Q36</f>
        <v>56.985401811528803</v>
      </c>
      <c r="T36" s="195">
        <f>SUM(T6:T35)</f>
        <v>0</v>
      </c>
      <c r="U36" s="195">
        <f>SUM(U6:U35)</f>
        <v>971</v>
      </c>
      <c r="V36" s="195">
        <f>SUM(V6:V35)</f>
        <v>12324.295093104249</v>
      </c>
      <c r="W36" s="195"/>
      <c r="X36" s="195">
        <f t="shared" ref="X36:AH36" si="10">SUM(X6:X35)</f>
        <v>3917</v>
      </c>
      <c r="Y36" s="195">
        <f t="shared" si="10"/>
        <v>25794.030499556462</v>
      </c>
      <c r="Z36" s="195">
        <f t="shared" si="10"/>
        <v>197.46585945119267</v>
      </c>
      <c r="AA36" s="195">
        <f t="shared" si="10"/>
        <v>0</v>
      </c>
      <c r="AB36" s="195">
        <f t="shared" si="10"/>
        <v>0</v>
      </c>
      <c r="AC36" s="195">
        <f t="shared" si="10"/>
        <v>0</v>
      </c>
      <c r="AD36" s="195">
        <f t="shared" si="10"/>
        <v>0</v>
      </c>
      <c r="AE36" s="195">
        <f t="shared" si="10"/>
        <v>0</v>
      </c>
      <c r="AF36" s="195" t="e">
        <f t="shared" si="10"/>
        <v>#DIV/0!</v>
      </c>
      <c r="AG36" s="195">
        <f t="shared" si="10"/>
        <v>3150</v>
      </c>
      <c r="AH36" s="195">
        <f t="shared" si="10"/>
        <v>35126.240698583577</v>
      </c>
      <c r="AI36" s="195">
        <f>AH36/AG36</f>
        <v>11.151187523359866</v>
      </c>
      <c r="AJ36" s="203">
        <f>SUM(AJ6:AJ35)</f>
        <v>979006.35400212614</v>
      </c>
    </row>
  </sheetData>
  <sheetProtection algorithmName="SHA-512" hashValue="lvW1gHdaCMmvGJahOrWqThuc2CiWDpzgHY01K764ez9k1UZzTq7dDLlZ4lx2afCU050XHFotaaoRl2EwUs9evA==" saltValue="JtGNi2wss2f+cXG983JJIA==" spinCount="100000" sheet="1" scenarios="1" sort="0" autoFilter="0"/>
  <mergeCells count="10">
    <mergeCell ref="A1:AJ1"/>
    <mergeCell ref="A2:AJ2"/>
    <mergeCell ref="A3:AJ3"/>
    <mergeCell ref="B4:J4"/>
    <mergeCell ref="K4:M4"/>
    <mergeCell ref="N4:P4"/>
    <mergeCell ref="Q4:S4"/>
    <mergeCell ref="T4:Z4"/>
    <mergeCell ref="AA4:AF4"/>
    <mergeCell ref="AG4:A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A583-E86F-4CBB-81C8-EDAB7E846659}">
  <dimension ref="A1:AJ37"/>
  <sheetViews>
    <sheetView zoomScale="80" zoomScaleNormal="80" workbookViewId="0">
      <selection activeCell="P39" sqref="P39"/>
    </sheetView>
  </sheetViews>
  <sheetFormatPr defaultRowHeight="15" x14ac:dyDescent="0.25"/>
  <cols>
    <col min="1" max="1" width="11.140625" customWidth="1"/>
    <col min="2" max="6" width="10" bestFit="1" customWidth="1"/>
    <col min="7" max="7" width="8.42578125" bestFit="1" customWidth="1"/>
    <col min="8" max="8" width="10" bestFit="1" customWidth="1"/>
    <col min="9" max="9" width="13" bestFit="1" customWidth="1"/>
    <col min="10" max="11" width="10.7109375" customWidth="1"/>
    <col min="12" max="12" width="11.28515625" bestFit="1" customWidth="1"/>
    <col min="13" max="13" width="13" bestFit="1" customWidth="1"/>
    <col min="14" max="14" width="10.7109375" customWidth="1"/>
    <col min="15" max="15" width="11.28515625" bestFit="1" customWidth="1"/>
    <col min="16" max="16" width="13" bestFit="1" customWidth="1"/>
    <col min="17" max="17" width="10.7109375" customWidth="1"/>
    <col min="18" max="18" width="13.28515625" bestFit="1" customWidth="1"/>
    <col min="19" max="19" width="10.7109375" customWidth="1"/>
    <col min="20" max="21" width="9.5703125" customWidth="1"/>
    <col min="22" max="22" width="11.42578125" customWidth="1"/>
    <col min="23" max="23" width="8.42578125" bestFit="1" customWidth="1"/>
    <col min="24" max="24" width="10" bestFit="1" customWidth="1"/>
    <col min="25" max="25" width="13.28515625" bestFit="1" customWidth="1"/>
    <col min="26" max="26" width="8.85546875" style="39" bestFit="1" customWidth="1"/>
    <col min="27" max="27" width="2.5703125" hidden="1" customWidth="1"/>
    <col min="28" max="31" width="9.140625" hidden="1" customWidth="1"/>
    <col min="32" max="32" width="11.5703125" hidden="1" customWidth="1"/>
    <col min="33" max="33" width="13.5703125" style="2" bestFit="1" customWidth="1"/>
    <col min="34" max="34" width="11.28515625" customWidth="1"/>
    <col min="36" max="36" width="13.85546875" style="2" bestFit="1" customWidth="1"/>
  </cols>
  <sheetData>
    <row r="1" spans="1:36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36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36" ht="21.75" thickBot="1" x14ac:dyDescent="0.4">
      <c r="A3" s="308" t="s">
        <v>81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36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63</v>
      </c>
      <c r="O4" s="315"/>
      <c r="P4" s="318"/>
      <c r="Q4" s="314" t="s">
        <v>64</v>
      </c>
      <c r="R4" s="315"/>
      <c r="S4" s="318"/>
      <c r="T4" s="314" t="s">
        <v>65</v>
      </c>
      <c r="U4" s="315"/>
      <c r="V4" s="315"/>
      <c r="W4" s="315"/>
      <c r="X4" s="315"/>
      <c r="Y4" s="315"/>
      <c r="Z4" s="318"/>
      <c r="AA4" s="378" t="s">
        <v>66</v>
      </c>
      <c r="AB4" s="379"/>
      <c r="AC4" s="379"/>
      <c r="AD4" s="379"/>
      <c r="AE4" s="379"/>
      <c r="AF4" s="380"/>
      <c r="AG4" s="320" t="s">
        <v>67</v>
      </c>
      <c r="AH4" s="321"/>
      <c r="AI4" s="322"/>
      <c r="AJ4" s="144" t="s">
        <v>68</v>
      </c>
    </row>
    <row r="5" spans="1:36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48" t="s">
        <v>69</v>
      </c>
      <c r="O5" s="149" t="s">
        <v>0</v>
      </c>
      <c r="P5" s="150" t="s">
        <v>70</v>
      </c>
      <c r="Q5" s="148" t="s">
        <v>69</v>
      </c>
      <c r="R5" s="149" t="s">
        <v>0</v>
      </c>
      <c r="S5" s="150" t="s">
        <v>70</v>
      </c>
      <c r="T5" s="151" t="s">
        <v>71</v>
      </c>
      <c r="U5" s="152" t="s">
        <v>72</v>
      </c>
      <c r="V5" s="152" t="s">
        <v>73</v>
      </c>
      <c r="W5" s="152" t="s">
        <v>79</v>
      </c>
      <c r="X5" s="153" t="s">
        <v>21</v>
      </c>
      <c r="Y5" s="153" t="s">
        <v>74</v>
      </c>
      <c r="Z5" s="154" t="s">
        <v>16</v>
      </c>
      <c r="AA5" s="155" t="s">
        <v>2</v>
      </c>
      <c r="AB5" s="156" t="s">
        <v>3</v>
      </c>
      <c r="AC5" s="156" t="s">
        <v>4</v>
      </c>
      <c r="AD5" s="157" t="s">
        <v>69</v>
      </c>
      <c r="AE5" s="158" t="s">
        <v>0</v>
      </c>
      <c r="AF5" s="159" t="s">
        <v>70</v>
      </c>
      <c r="AG5" s="160" t="s">
        <v>75</v>
      </c>
      <c r="AH5" s="161" t="s">
        <v>30</v>
      </c>
      <c r="AI5" s="162" t="s">
        <v>76</v>
      </c>
      <c r="AJ5" s="144" t="s">
        <v>68</v>
      </c>
    </row>
    <row r="6" spans="1:36" x14ac:dyDescent="0.25">
      <c r="A6" s="163">
        <v>45778</v>
      </c>
      <c r="B6" s="164">
        <v>200</v>
      </c>
      <c r="C6" s="165">
        <v>210</v>
      </c>
      <c r="D6" s="165">
        <v>205</v>
      </c>
      <c r="E6" s="165">
        <v>35</v>
      </c>
      <c r="F6" s="165">
        <v>306</v>
      </c>
      <c r="G6" s="165"/>
      <c r="H6" s="165">
        <f>B6*0.2+SUM(C6:F6)*0.4</f>
        <v>342.40000000000003</v>
      </c>
      <c r="I6" s="167">
        <v>22863.325000000001</v>
      </c>
      <c r="J6" s="166">
        <f>I6/H6</f>
        <v>66.773729556074755</v>
      </c>
      <c r="K6" s="164">
        <v>44</v>
      </c>
      <c r="L6" s="167">
        <v>4355.1399999999994</v>
      </c>
      <c r="M6" s="168">
        <f>L6/K6</f>
        <v>98.980454545454535</v>
      </c>
      <c r="N6" s="164">
        <v>25</v>
      </c>
      <c r="O6" s="167">
        <v>1707.8700000000001</v>
      </c>
      <c r="P6" s="168">
        <f>O6/N6</f>
        <v>68.314800000000005</v>
      </c>
      <c r="Q6" s="164">
        <v>75</v>
      </c>
      <c r="R6" s="167">
        <v>4160</v>
      </c>
      <c r="S6" s="168">
        <f>R6/Q6</f>
        <v>55.466666666666669</v>
      </c>
      <c r="T6" s="164"/>
      <c r="U6" s="165">
        <v>12</v>
      </c>
      <c r="V6" s="165">
        <v>147</v>
      </c>
      <c r="W6" s="177">
        <f>V6/U6</f>
        <v>12.25</v>
      </c>
      <c r="X6" s="165">
        <v>194</v>
      </c>
      <c r="Y6" s="167">
        <v>1284.7399999999998</v>
      </c>
      <c r="Z6" s="197">
        <f>Y6/X6</f>
        <v>6.6223711340206171</v>
      </c>
      <c r="AA6" s="164"/>
      <c r="AB6" s="165"/>
      <c r="AC6" s="165"/>
      <c r="AD6" s="165"/>
      <c r="AE6" s="165"/>
      <c r="AF6" s="169" t="e">
        <f>AE6/AD6</f>
        <v>#DIV/0!</v>
      </c>
      <c r="AG6" s="198">
        <v>105</v>
      </c>
      <c r="AH6" s="171">
        <v>1265</v>
      </c>
      <c r="AI6" s="172">
        <f>AH6/AG6</f>
        <v>12.047619047619047</v>
      </c>
      <c r="AJ6" s="199">
        <f>I6+L6+O6+R6+V6+Y6+AH6</f>
        <v>35783.074999999997</v>
      </c>
    </row>
    <row r="7" spans="1:36" x14ac:dyDescent="0.25">
      <c r="A7" s="163">
        <v>45779</v>
      </c>
      <c r="B7" s="164">
        <v>85</v>
      </c>
      <c r="C7" s="165">
        <v>95</v>
      </c>
      <c r="D7" s="165">
        <v>85</v>
      </c>
      <c r="E7" s="176">
        <v>44</v>
      </c>
      <c r="F7" s="165">
        <v>291</v>
      </c>
      <c r="G7" s="176"/>
      <c r="H7" s="165">
        <f t="shared" ref="H7:H31" si="0">B7*0.2+SUM(C7:F7)*0.4</f>
        <v>223</v>
      </c>
      <c r="I7" s="177">
        <v>16776.760000000002</v>
      </c>
      <c r="J7" s="166">
        <f t="shared" ref="J7:J36" si="1">I7/H7</f>
        <v>75.232107623318399</v>
      </c>
      <c r="K7" s="175">
        <v>42</v>
      </c>
      <c r="L7" s="177">
        <v>3254.54</v>
      </c>
      <c r="M7" s="178">
        <f t="shared" ref="M7:M36" si="2">L7/K7</f>
        <v>77.489047619047625</v>
      </c>
      <c r="N7" s="164">
        <v>25</v>
      </c>
      <c r="O7" s="177">
        <v>1649.79</v>
      </c>
      <c r="P7" s="178">
        <f t="shared" ref="P7:P36" si="3">O7/N7</f>
        <v>65.991600000000005</v>
      </c>
      <c r="Q7" s="164">
        <v>75</v>
      </c>
      <c r="R7" s="177">
        <v>3929.8</v>
      </c>
      <c r="S7" s="178">
        <f t="shared" ref="S7:S36" si="4">R7/Q7</f>
        <v>52.397333333333336</v>
      </c>
      <c r="T7" s="175"/>
      <c r="U7" s="176"/>
      <c r="V7" s="200"/>
      <c r="W7" s="177" t="e">
        <f>V7/U7</f>
        <v>#DIV/0!</v>
      </c>
      <c r="X7" s="176">
        <v>42</v>
      </c>
      <c r="Y7" s="167">
        <v>262.85999999999996</v>
      </c>
      <c r="Z7" s="197">
        <f t="shared" ref="Z7:Z36" si="5">Y7/X7</f>
        <v>6.2585714285714271</v>
      </c>
      <c r="AA7" s="175"/>
      <c r="AB7" s="176"/>
      <c r="AC7" s="176"/>
      <c r="AD7" s="176"/>
      <c r="AE7" s="176"/>
      <c r="AF7" s="179"/>
      <c r="AG7" s="198">
        <v>105</v>
      </c>
      <c r="AH7" s="104">
        <v>1180.1999999999998</v>
      </c>
      <c r="AI7" s="172">
        <f>AH7/AG7</f>
        <v>11.239999999999998</v>
      </c>
      <c r="AJ7" s="199">
        <f t="shared" ref="AJ7:AJ36" si="6">I7+L7+O7+R7+V7+Y7+AH7</f>
        <v>27053.950000000004</v>
      </c>
    </row>
    <row r="8" spans="1:36" x14ac:dyDescent="0.25">
      <c r="A8" s="163">
        <v>45780</v>
      </c>
      <c r="B8" s="164">
        <v>85</v>
      </c>
      <c r="C8" s="165">
        <v>95</v>
      </c>
      <c r="D8" s="165">
        <v>85</v>
      </c>
      <c r="E8" s="176">
        <v>37</v>
      </c>
      <c r="F8" s="165">
        <v>291</v>
      </c>
      <c r="G8" s="176"/>
      <c r="H8" s="165">
        <f t="shared" si="0"/>
        <v>220.20000000000002</v>
      </c>
      <c r="I8" s="177">
        <v>18191.242000000002</v>
      </c>
      <c r="J8" s="166">
        <f t="shared" si="1"/>
        <v>82.612361489554957</v>
      </c>
      <c r="K8" s="175">
        <v>44</v>
      </c>
      <c r="L8" s="177">
        <v>2775.01</v>
      </c>
      <c r="M8" s="178">
        <f t="shared" si="2"/>
        <v>63.068409090909093</v>
      </c>
      <c r="N8" s="164">
        <v>25</v>
      </c>
      <c r="O8" s="177">
        <v>1520.78</v>
      </c>
      <c r="P8" s="178">
        <f t="shared" si="3"/>
        <v>60.831199999999995</v>
      </c>
      <c r="Q8" s="164">
        <v>75</v>
      </c>
      <c r="R8" s="177">
        <v>3605.2</v>
      </c>
      <c r="S8" s="178">
        <f t="shared" si="4"/>
        <v>48.069333333333333</v>
      </c>
      <c r="T8" s="175"/>
      <c r="U8" s="176"/>
      <c r="V8" s="177"/>
      <c r="W8" s="177" t="e">
        <f>V8/U8</f>
        <v>#DIV/0!</v>
      </c>
      <c r="X8" s="176">
        <v>42</v>
      </c>
      <c r="Y8" s="167">
        <v>293.2</v>
      </c>
      <c r="Z8" s="197">
        <f t="shared" si="5"/>
        <v>6.980952380952381</v>
      </c>
      <c r="AA8" s="175"/>
      <c r="AB8" s="176"/>
      <c r="AC8" s="176"/>
      <c r="AD8" s="176"/>
      <c r="AE8" s="176"/>
      <c r="AF8" s="179"/>
      <c r="AG8" s="198">
        <v>105</v>
      </c>
      <c r="AH8" s="104">
        <v>1116.29</v>
      </c>
      <c r="AI8" s="172">
        <f>AH8/AG8</f>
        <v>10.631333333333332</v>
      </c>
      <c r="AJ8" s="199">
        <f>I8+L8+O8+R8+V8+Y8+AH8</f>
        <v>27501.722000000002</v>
      </c>
    </row>
    <row r="9" spans="1:36" x14ac:dyDescent="0.25">
      <c r="A9" s="163">
        <v>45781</v>
      </c>
      <c r="B9" s="175">
        <v>200</v>
      </c>
      <c r="C9" s="176">
        <v>210</v>
      </c>
      <c r="D9" s="176">
        <v>215</v>
      </c>
      <c r="E9" s="176">
        <v>47</v>
      </c>
      <c r="F9" s="165">
        <v>306</v>
      </c>
      <c r="G9" s="176"/>
      <c r="H9" s="165">
        <f t="shared" si="0"/>
        <v>351.20000000000005</v>
      </c>
      <c r="I9" s="177">
        <v>26642.290000000005</v>
      </c>
      <c r="J9" s="181">
        <f t="shared" si="1"/>
        <v>75.860734624145792</v>
      </c>
      <c r="K9" s="204">
        <v>44</v>
      </c>
      <c r="L9" s="205">
        <v>2399.7800000000002</v>
      </c>
      <c r="M9" s="178">
        <f t="shared" si="2"/>
        <v>54.540454545454551</v>
      </c>
      <c r="N9" s="164">
        <v>25</v>
      </c>
      <c r="O9" s="177">
        <v>1511.74</v>
      </c>
      <c r="P9" s="178">
        <f t="shared" si="3"/>
        <v>60.4696</v>
      </c>
      <c r="Q9" s="164">
        <v>75</v>
      </c>
      <c r="R9" s="177">
        <v>4396.1000000000004</v>
      </c>
      <c r="S9" s="178">
        <f t="shared" si="4"/>
        <v>58.614666666666672</v>
      </c>
      <c r="T9" s="175"/>
      <c r="U9" s="176">
        <v>147</v>
      </c>
      <c r="V9" s="177">
        <v>1997.3021231381686</v>
      </c>
      <c r="W9" s="177">
        <f t="shared" ref="W9:W36" si="7">V9/U9</f>
        <v>13.587089273048766</v>
      </c>
      <c r="X9" s="176">
        <v>194</v>
      </c>
      <c r="Y9" s="167">
        <v>1142.93</v>
      </c>
      <c r="Z9" s="197">
        <f t="shared" si="5"/>
        <v>5.8913917525773201</v>
      </c>
      <c r="AA9" s="175"/>
      <c r="AB9" s="176"/>
      <c r="AC9" s="176"/>
      <c r="AD9" s="176"/>
      <c r="AE9" s="176"/>
      <c r="AF9" s="179"/>
      <c r="AG9" s="198">
        <v>105</v>
      </c>
      <c r="AH9" s="104">
        <v>1091.81</v>
      </c>
      <c r="AI9" s="172">
        <f>AH9/AG9</f>
        <v>10.398190476190475</v>
      </c>
      <c r="AJ9" s="199">
        <f t="shared" si="6"/>
        <v>39181.952123138173</v>
      </c>
    </row>
    <row r="10" spans="1:36" x14ac:dyDescent="0.25">
      <c r="A10" s="163">
        <v>45782</v>
      </c>
      <c r="B10" s="175">
        <v>200</v>
      </c>
      <c r="C10" s="176">
        <v>210</v>
      </c>
      <c r="D10" s="176">
        <v>205</v>
      </c>
      <c r="E10" s="176">
        <v>45</v>
      </c>
      <c r="F10" s="165">
        <v>321</v>
      </c>
      <c r="G10" s="176">
        <v>70</v>
      </c>
      <c r="H10" s="165">
        <f>B10*0.2+SUM(C10:F10)*0.4+G10*40%</f>
        <v>380.40000000000003</v>
      </c>
      <c r="I10" s="177">
        <v>27907.791799999999</v>
      </c>
      <c r="J10" s="181">
        <f t="shared" si="1"/>
        <v>73.364331756046255</v>
      </c>
      <c r="K10" s="175">
        <v>47</v>
      </c>
      <c r="L10" s="177">
        <v>3221.174</v>
      </c>
      <c r="M10" s="178">
        <f t="shared" si="2"/>
        <v>68.535617021276593</v>
      </c>
      <c r="N10" s="164">
        <v>25</v>
      </c>
      <c r="O10" s="177">
        <v>1327.7599999999998</v>
      </c>
      <c r="P10" s="178">
        <f t="shared" si="3"/>
        <v>53.110399999999991</v>
      </c>
      <c r="Q10" s="164">
        <v>75</v>
      </c>
      <c r="R10" s="177">
        <v>3535.1400000000003</v>
      </c>
      <c r="S10" s="178">
        <f t="shared" si="4"/>
        <v>47.135200000000005</v>
      </c>
      <c r="T10" s="175"/>
      <c r="U10" s="176">
        <v>12</v>
      </c>
      <c r="V10" s="177">
        <v>179.72570000000002</v>
      </c>
      <c r="W10" s="177">
        <f t="shared" si="7"/>
        <v>14.977141666666668</v>
      </c>
      <c r="X10" s="176">
        <v>269</v>
      </c>
      <c r="Y10" s="167">
        <v>1146.3300000000002</v>
      </c>
      <c r="Z10" s="197">
        <f t="shared" si="5"/>
        <v>4.2614498141263946</v>
      </c>
      <c r="AA10" s="175"/>
      <c r="AB10" s="176"/>
      <c r="AC10" s="176"/>
      <c r="AD10" s="176"/>
      <c r="AE10" s="176"/>
      <c r="AF10" s="179"/>
      <c r="AG10" s="198">
        <v>105</v>
      </c>
      <c r="AH10" s="104">
        <v>1070.45</v>
      </c>
      <c r="AI10" s="172">
        <f t="shared" ref="AI10:AI36" si="8">AH10/AG10</f>
        <v>10.194761904761906</v>
      </c>
      <c r="AJ10" s="199">
        <f t="shared" si="6"/>
        <v>38388.371500000001</v>
      </c>
    </row>
    <row r="11" spans="1:36" x14ac:dyDescent="0.25">
      <c r="A11" s="163">
        <v>45783</v>
      </c>
      <c r="B11" s="175">
        <v>200</v>
      </c>
      <c r="C11" s="176">
        <v>210</v>
      </c>
      <c r="D11" s="176">
        <v>207</v>
      </c>
      <c r="E11" s="176">
        <v>52</v>
      </c>
      <c r="F11" s="165">
        <v>321</v>
      </c>
      <c r="G11" s="176"/>
      <c r="H11" s="165">
        <f>B11*0.2+SUM(C11:F11)*0.4</f>
        <v>356</v>
      </c>
      <c r="I11" s="177">
        <v>27568.89</v>
      </c>
      <c r="J11" s="181">
        <f t="shared" si="1"/>
        <v>77.440702247191012</v>
      </c>
      <c r="K11" s="175">
        <v>47</v>
      </c>
      <c r="L11" s="177">
        <v>2400</v>
      </c>
      <c r="M11" s="178">
        <f t="shared" si="2"/>
        <v>51.063829787234042</v>
      </c>
      <c r="N11" s="164">
        <v>25</v>
      </c>
      <c r="O11" s="206">
        <v>1355.4799999999998</v>
      </c>
      <c r="P11" s="178">
        <f t="shared" si="3"/>
        <v>54.219199999999994</v>
      </c>
      <c r="Q11" s="164">
        <v>75</v>
      </c>
      <c r="R11" s="207">
        <v>4000</v>
      </c>
      <c r="S11" s="178">
        <f t="shared" si="4"/>
        <v>53.333333333333336</v>
      </c>
      <c r="T11" s="175"/>
      <c r="U11" s="176">
        <v>12</v>
      </c>
      <c r="V11" s="177">
        <v>160</v>
      </c>
      <c r="W11" s="177">
        <f t="shared" si="7"/>
        <v>13.333333333333334</v>
      </c>
      <c r="X11" s="176">
        <v>244</v>
      </c>
      <c r="Y11" s="167">
        <v>1709.7999999999997</v>
      </c>
      <c r="Z11" s="197">
        <f t="shared" si="5"/>
        <v>7.0073770491803264</v>
      </c>
      <c r="AA11" s="175"/>
      <c r="AB11" s="176"/>
      <c r="AC11" s="176"/>
      <c r="AD11" s="176"/>
      <c r="AE11" s="176"/>
      <c r="AF11" s="179"/>
      <c r="AG11" s="198">
        <v>105</v>
      </c>
      <c r="AH11" s="104">
        <v>1212.0999999999999</v>
      </c>
      <c r="AI11" s="172">
        <f t="shared" si="8"/>
        <v>11.543809523809523</v>
      </c>
      <c r="AJ11" s="199">
        <f t="shared" si="6"/>
        <v>38406.269999999997</v>
      </c>
    </row>
    <row r="12" spans="1:36" x14ac:dyDescent="0.25">
      <c r="A12" s="163">
        <v>45784</v>
      </c>
      <c r="B12" s="175">
        <v>200</v>
      </c>
      <c r="C12" s="176">
        <v>210</v>
      </c>
      <c r="D12" s="176">
        <v>210</v>
      </c>
      <c r="E12" s="176">
        <v>61</v>
      </c>
      <c r="F12" s="165">
        <v>325</v>
      </c>
      <c r="G12" s="176"/>
      <c r="H12" s="165">
        <f>B12*0.2+SUM(C12:F12)*0.4</f>
        <v>362.40000000000003</v>
      </c>
      <c r="I12" s="177">
        <v>27647.819999999996</v>
      </c>
      <c r="J12" s="181">
        <f t="shared" si="1"/>
        <v>76.290894039735079</v>
      </c>
      <c r="K12" s="175">
        <v>46</v>
      </c>
      <c r="L12" s="177">
        <v>2193.85</v>
      </c>
      <c r="M12" s="178">
        <f t="shared" si="2"/>
        <v>47.692391304347822</v>
      </c>
      <c r="N12" s="164">
        <v>25</v>
      </c>
      <c r="O12" s="177">
        <v>1196.1199999999999</v>
      </c>
      <c r="P12" s="178">
        <f t="shared" si="3"/>
        <v>47.844799999999992</v>
      </c>
      <c r="Q12" s="164">
        <v>75</v>
      </c>
      <c r="R12" s="177">
        <v>4426.9800000000005</v>
      </c>
      <c r="S12" s="178">
        <f t="shared" si="4"/>
        <v>59.02640000000001</v>
      </c>
      <c r="T12" s="175"/>
      <c r="U12" s="176">
        <v>12</v>
      </c>
      <c r="V12" s="177">
        <v>161.5</v>
      </c>
      <c r="W12" s="177">
        <f t="shared" si="7"/>
        <v>13.458333333333334</v>
      </c>
      <c r="X12" s="176">
        <v>244</v>
      </c>
      <c r="Y12" s="167">
        <v>1674.48</v>
      </c>
      <c r="Z12" s="197">
        <f t="shared" si="5"/>
        <v>6.8626229508196719</v>
      </c>
      <c r="AA12" s="175"/>
      <c r="AB12" s="176"/>
      <c r="AC12" s="176"/>
      <c r="AD12" s="176"/>
      <c r="AE12" s="176"/>
      <c r="AF12" s="179"/>
      <c r="AG12" s="198">
        <v>105</v>
      </c>
      <c r="AH12" s="104">
        <v>1015.72</v>
      </c>
      <c r="AI12" s="172">
        <f t="shared" si="8"/>
        <v>9.6735238095238092</v>
      </c>
      <c r="AJ12" s="199">
        <f t="shared" si="6"/>
        <v>38316.47</v>
      </c>
    </row>
    <row r="13" spans="1:36" x14ac:dyDescent="0.25">
      <c r="A13" s="163">
        <v>45785</v>
      </c>
      <c r="B13" s="175">
        <v>200</v>
      </c>
      <c r="C13" s="176">
        <v>210</v>
      </c>
      <c r="D13" s="176">
        <v>210</v>
      </c>
      <c r="E13" s="176">
        <v>40</v>
      </c>
      <c r="F13" s="165">
        <v>321</v>
      </c>
      <c r="G13" s="176"/>
      <c r="H13" s="165">
        <f t="shared" si="0"/>
        <v>352.40000000000003</v>
      </c>
      <c r="I13" s="177">
        <v>32433.4532</v>
      </c>
      <c r="J13" s="181">
        <f t="shared" si="1"/>
        <v>92.035905788876264</v>
      </c>
      <c r="K13" s="175">
        <v>46</v>
      </c>
      <c r="L13" s="177">
        <v>2608.98</v>
      </c>
      <c r="M13" s="178">
        <f t="shared" si="2"/>
        <v>56.716956521739128</v>
      </c>
      <c r="N13" s="164">
        <v>25</v>
      </c>
      <c r="O13" s="177">
        <v>1608.16</v>
      </c>
      <c r="P13" s="178">
        <f t="shared" si="3"/>
        <v>64.326400000000007</v>
      </c>
      <c r="Q13" s="164">
        <v>75</v>
      </c>
      <c r="R13" s="177">
        <v>3775.4800000000005</v>
      </c>
      <c r="S13" s="178">
        <f t="shared" si="4"/>
        <v>50.339733333333342</v>
      </c>
      <c r="T13" s="175"/>
      <c r="U13" s="176">
        <v>12</v>
      </c>
      <c r="V13" s="177">
        <v>180</v>
      </c>
      <c r="W13" s="177">
        <f t="shared" si="7"/>
        <v>15</v>
      </c>
      <c r="X13" s="176">
        <v>244</v>
      </c>
      <c r="Y13" s="167">
        <v>1704.4999999999998</v>
      </c>
      <c r="Z13" s="197">
        <f t="shared" si="5"/>
        <v>6.9856557377049171</v>
      </c>
      <c r="AA13" s="175"/>
      <c r="AB13" s="176"/>
      <c r="AC13" s="176"/>
      <c r="AD13" s="176"/>
      <c r="AE13" s="176"/>
      <c r="AF13" s="179"/>
      <c r="AG13" s="198">
        <v>105</v>
      </c>
      <c r="AH13" s="104">
        <v>1172.6399999999999</v>
      </c>
      <c r="AI13" s="172">
        <f t="shared" si="8"/>
        <v>11.167999999999999</v>
      </c>
      <c r="AJ13" s="199">
        <f t="shared" si="6"/>
        <v>43483.213200000006</v>
      </c>
    </row>
    <row r="14" spans="1:36" x14ac:dyDescent="0.25">
      <c r="A14" s="163">
        <v>45786</v>
      </c>
      <c r="B14" s="175">
        <v>85</v>
      </c>
      <c r="C14" s="176">
        <v>95</v>
      </c>
      <c r="D14" s="176">
        <v>85</v>
      </c>
      <c r="E14" s="176">
        <v>39</v>
      </c>
      <c r="F14" s="165">
        <v>306</v>
      </c>
      <c r="G14" s="176"/>
      <c r="H14" s="165">
        <f t="shared" si="0"/>
        <v>227</v>
      </c>
      <c r="I14" s="177">
        <v>18189.53</v>
      </c>
      <c r="J14" s="181">
        <f t="shared" si="1"/>
        <v>80.13008810572687</v>
      </c>
      <c r="K14" s="175">
        <v>46</v>
      </c>
      <c r="L14" s="177">
        <v>2268.02</v>
      </c>
      <c r="M14" s="178">
        <f t="shared" si="2"/>
        <v>49.304782608695653</v>
      </c>
      <c r="N14" s="164">
        <v>25</v>
      </c>
      <c r="O14" s="177">
        <v>1573.98</v>
      </c>
      <c r="P14" s="178">
        <f t="shared" si="3"/>
        <v>62.959200000000003</v>
      </c>
      <c r="Q14" s="164">
        <v>75</v>
      </c>
      <c r="R14" s="177">
        <v>4139.66</v>
      </c>
      <c r="S14" s="178">
        <f t="shared" si="4"/>
        <v>55.195466666666668</v>
      </c>
      <c r="T14" s="175"/>
      <c r="U14" s="176"/>
      <c r="V14" s="177"/>
      <c r="W14" s="177" t="e">
        <f t="shared" si="7"/>
        <v>#DIV/0!</v>
      </c>
      <c r="X14" s="176">
        <v>92</v>
      </c>
      <c r="Y14" s="177">
        <v>589.64</v>
      </c>
      <c r="Z14" s="197">
        <f t="shared" si="5"/>
        <v>6.4091304347826084</v>
      </c>
      <c r="AA14" s="175"/>
      <c r="AB14" s="176"/>
      <c r="AC14" s="176"/>
      <c r="AD14" s="176"/>
      <c r="AE14" s="176"/>
      <c r="AF14" s="179"/>
      <c r="AG14" s="198">
        <v>105</v>
      </c>
      <c r="AH14" s="104">
        <v>1100</v>
      </c>
      <c r="AI14" s="172">
        <f t="shared" si="8"/>
        <v>10.476190476190476</v>
      </c>
      <c r="AJ14" s="199">
        <f t="shared" si="6"/>
        <v>27860.829999999998</v>
      </c>
    </row>
    <row r="15" spans="1:36" x14ac:dyDescent="0.25">
      <c r="A15" s="163">
        <v>45787</v>
      </c>
      <c r="B15" s="175">
        <v>85</v>
      </c>
      <c r="C15" s="176">
        <v>95</v>
      </c>
      <c r="D15" s="176">
        <v>85</v>
      </c>
      <c r="E15" s="176">
        <v>45</v>
      </c>
      <c r="F15" s="165">
        <v>306</v>
      </c>
      <c r="G15" s="176"/>
      <c r="H15" s="165">
        <f t="shared" si="0"/>
        <v>229.4</v>
      </c>
      <c r="I15" s="177">
        <v>17143.175800000001</v>
      </c>
      <c r="J15" s="181">
        <f t="shared" si="1"/>
        <v>74.730496076721892</v>
      </c>
      <c r="K15" s="175">
        <v>44</v>
      </c>
      <c r="L15" s="177">
        <v>2471.5500000000002</v>
      </c>
      <c r="M15" s="178">
        <f t="shared" si="2"/>
        <v>56.171590909090916</v>
      </c>
      <c r="N15" s="164">
        <v>25</v>
      </c>
      <c r="O15" s="177">
        <v>1276.3399999999999</v>
      </c>
      <c r="P15" s="178">
        <f t="shared" si="3"/>
        <v>51.053599999999996</v>
      </c>
      <c r="Q15" s="164">
        <v>75</v>
      </c>
      <c r="R15" s="177">
        <v>3661.2400000000007</v>
      </c>
      <c r="S15" s="178">
        <f t="shared" si="4"/>
        <v>48.816533333333339</v>
      </c>
      <c r="T15" s="175"/>
      <c r="U15" s="176"/>
      <c r="V15" s="177"/>
      <c r="W15" s="177" t="e">
        <f t="shared" si="7"/>
        <v>#DIV/0!</v>
      </c>
      <c r="X15" s="176">
        <v>89</v>
      </c>
      <c r="Y15" s="177">
        <v>594.65</v>
      </c>
      <c r="Z15" s="197">
        <f t="shared" si="5"/>
        <v>6.6814606741573028</v>
      </c>
      <c r="AA15" s="175"/>
      <c r="AB15" s="176"/>
      <c r="AC15" s="176"/>
      <c r="AD15" s="176"/>
      <c r="AE15" s="176"/>
      <c r="AF15" s="179"/>
      <c r="AG15" s="198">
        <v>105</v>
      </c>
      <c r="AH15" s="104">
        <v>1100</v>
      </c>
      <c r="AI15" s="172">
        <f t="shared" si="8"/>
        <v>10.476190476190476</v>
      </c>
      <c r="AJ15" s="199">
        <f t="shared" si="6"/>
        <v>26246.955800000003</v>
      </c>
    </row>
    <row r="16" spans="1:36" x14ac:dyDescent="0.25">
      <c r="A16" s="163">
        <v>45788</v>
      </c>
      <c r="B16" s="175">
        <v>200</v>
      </c>
      <c r="C16" s="176">
        <v>210</v>
      </c>
      <c r="D16" s="176">
        <v>237</v>
      </c>
      <c r="E16" s="176">
        <v>52</v>
      </c>
      <c r="F16" s="165">
        <v>346</v>
      </c>
      <c r="G16" s="176"/>
      <c r="H16" s="165">
        <f t="shared" si="0"/>
        <v>378</v>
      </c>
      <c r="I16" s="177">
        <v>28876.611399999998</v>
      </c>
      <c r="J16" s="181">
        <f t="shared" si="1"/>
        <v>76.39315185185184</v>
      </c>
      <c r="K16" s="175">
        <v>46</v>
      </c>
      <c r="L16" s="177">
        <v>1906.8</v>
      </c>
      <c r="M16" s="178">
        <f t="shared" si="2"/>
        <v>41.452173913043474</v>
      </c>
      <c r="N16" s="164">
        <v>25</v>
      </c>
      <c r="O16" s="177">
        <v>1365.39</v>
      </c>
      <c r="P16" s="178">
        <f t="shared" si="3"/>
        <v>54.615600000000001</v>
      </c>
      <c r="Q16" s="164">
        <v>75</v>
      </c>
      <c r="R16" s="177">
        <v>4189.9299999999994</v>
      </c>
      <c r="S16" s="178">
        <f t="shared" si="4"/>
        <v>55.865733333333324</v>
      </c>
      <c r="T16" s="175"/>
      <c r="U16" s="176">
        <v>145</v>
      </c>
      <c r="V16" s="177">
        <v>2139.8903128350535</v>
      </c>
      <c r="W16" s="177">
        <f t="shared" si="7"/>
        <v>14.757864226448644</v>
      </c>
      <c r="X16" s="176">
        <v>227</v>
      </c>
      <c r="Y16" s="177">
        <v>1564.2000000000003</v>
      </c>
      <c r="Z16" s="197">
        <f t="shared" si="5"/>
        <v>6.8907488986784156</v>
      </c>
      <c r="AA16" s="175"/>
      <c r="AB16" s="176"/>
      <c r="AC16" s="176"/>
      <c r="AD16" s="176"/>
      <c r="AE16" s="176"/>
      <c r="AF16" s="179"/>
      <c r="AG16" s="198">
        <v>105</v>
      </c>
      <c r="AH16" s="104">
        <v>1109.8300000000002</v>
      </c>
      <c r="AI16" s="172">
        <f t="shared" si="8"/>
        <v>10.569809523809525</v>
      </c>
      <c r="AJ16" s="199">
        <f t="shared" si="6"/>
        <v>41152.651712835046</v>
      </c>
    </row>
    <row r="17" spans="1:36" x14ac:dyDescent="0.25">
      <c r="A17" s="163">
        <v>45789</v>
      </c>
      <c r="B17" s="175">
        <v>200</v>
      </c>
      <c r="C17" s="176">
        <v>210</v>
      </c>
      <c r="D17" s="176">
        <v>205</v>
      </c>
      <c r="E17" s="176">
        <v>37</v>
      </c>
      <c r="F17" s="165">
        <v>321</v>
      </c>
      <c r="G17" s="176"/>
      <c r="H17" s="165">
        <f t="shared" si="0"/>
        <v>349.20000000000005</v>
      </c>
      <c r="I17" s="177">
        <v>32994.736000000004</v>
      </c>
      <c r="J17" s="181">
        <f t="shared" si="1"/>
        <v>94.486643757159214</v>
      </c>
      <c r="K17" s="175">
        <v>47</v>
      </c>
      <c r="L17" s="177">
        <v>2616.9699999999998</v>
      </c>
      <c r="M17" s="178">
        <f t="shared" si="2"/>
        <v>55.680212765957442</v>
      </c>
      <c r="N17" s="164">
        <v>25</v>
      </c>
      <c r="O17" s="177">
        <v>1298.92</v>
      </c>
      <c r="P17" s="178">
        <f t="shared" si="3"/>
        <v>51.956800000000001</v>
      </c>
      <c r="Q17" s="164">
        <v>75</v>
      </c>
      <c r="R17" s="177">
        <v>4985.63</v>
      </c>
      <c r="S17" s="178">
        <f t="shared" si="4"/>
        <v>66.475066666666663</v>
      </c>
      <c r="T17" s="175"/>
      <c r="U17" s="176">
        <v>19</v>
      </c>
      <c r="V17" s="177">
        <v>263.56320909090908</v>
      </c>
      <c r="W17" s="177">
        <f t="shared" si="7"/>
        <v>13.871747846889951</v>
      </c>
      <c r="X17" s="176">
        <v>203</v>
      </c>
      <c r="Y17" s="177">
        <v>1428.3000000000002</v>
      </c>
      <c r="Z17" s="197">
        <f t="shared" si="5"/>
        <v>7.0359605911330059</v>
      </c>
      <c r="AA17" s="175"/>
      <c r="AB17" s="176"/>
      <c r="AC17" s="176"/>
      <c r="AD17" s="176"/>
      <c r="AE17" s="176"/>
      <c r="AF17" s="179"/>
      <c r="AG17" s="198">
        <v>105</v>
      </c>
      <c r="AH17" s="104">
        <v>1141.1699999999998</v>
      </c>
      <c r="AI17" s="172">
        <f t="shared" si="8"/>
        <v>10.868285714285713</v>
      </c>
      <c r="AJ17" s="199">
        <f t="shared" si="6"/>
        <v>44729.289209090908</v>
      </c>
    </row>
    <row r="18" spans="1:36" x14ac:dyDescent="0.25">
      <c r="A18" s="163">
        <v>45790</v>
      </c>
      <c r="B18" s="175">
        <v>200</v>
      </c>
      <c r="C18" s="176">
        <v>210</v>
      </c>
      <c r="D18" s="176">
        <v>220</v>
      </c>
      <c r="E18" s="176">
        <v>37</v>
      </c>
      <c r="F18" s="165">
        <v>306</v>
      </c>
      <c r="G18" s="176"/>
      <c r="H18" s="165">
        <f t="shared" si="0"/>
        <v>349.20000000000005</v>
      </c>
      <c r="I18" s="177">
        <v>29552.97</v>
      </c>
      <c r="J18" s="181">
        <f t="shared" si="1"/>
        <v>84.630498281786927</v>
      </c>
      <c r="K18" s="175">
        <v>47</v>
      </c>
      <c r="L18" s="177">
        <v>2269.5</v>
      </c>
      <c r="M18" s="178">
        <f t="shared" si="2"/>
        <v>48.287234042553195</v>
      </c>
      <c r="N18" s="164">
        <v>25</v>
      </c>
      <c r="O18" s="177">
        <v>1472.31</v>
      </c>
      <c r="P18" s="178">
        <f t="shared" si="3"/>
        <v>58.892399999999995</v>
      </c>
      <c r="Q18" s="164">
        <v>75</v>
      </c>
      <c r="R18" s="177">
        <v>3770.2999999999997</v>
      </c>
      <c r="S18" s="178">
        <f t="shared" si="4"/>
        <v>50.270666666666664</v>
      </c>
      <c r="T18" s="175"/>
      <c r="U18" s="176">
        <v>12</v>
      </c>
      <c r="V18" s="177">
        <v>156</v>
      </c>
      <c r="W18" s="177">
        <f t="shared" si="7"/>
        <v>13</v>
      </c>
      <c r="X18" s="176">
        <v>219</v>
      </c>
      <c r="Y18" s="177">
        <v>1627.1</v>
      </c>
      <c r="Z18" s="197">
        <f t="shared" si="5"/>
        <v>7.4296803652968029</v>
      </c>
      <c r="AA18" s="175"/>
      <c r="AB18" s="176"/>
      <c r="AC18" s="176"/>
      <c r="AD18" s="176"/>
      <c r="AE18" s="176"/>
      <c r="AF18" s="179"/>
      <c r="AG18" s="198">
        <v>105</v>
      </c>
      <c r="AH18" s="104">
        <v>1180.1400000000001</v>
      </c>
      <c r="AI18" s="172">
        <f t="shared" si="8"/>
        <v>11.239428571428572</v>
      </c>
      <c r="AJ18" s="199">
        <f t="shared" si="6"/>
        <v>40028.32</v>
      </c>
    </row>
    <row r="19" spans="1:36" x14ac:dyDescent="0.25">
      <c r="A19" s="163">
        <v>45791</v>
      </c>
      <c r="B19" s="175">
        <v>200</v>
      </c>
      <c r="C19" s="176">
        <v>210</v>
      </c>
      <c r="D19" s="176">
        <v>205</v>
      </c>
      <c r="E19" s="176">
        <v>37</v>
      </c>
      <c r="F19" s="165">
        <v>306</v>
      </c>
      <c r="G19" s="176"/>
      <c r="H19" s="165">
        <f t="shared" si="0"/>
        <v>343.2</v>
      </c>
      <c r="I19" s="177">
        <v>31148.640000000003</v>
      </c>
      <c r="J19" s="181">
        <f t="shared" si="1"/>
        <v>90.759440559440577</v>
      </c>
      <c r="K19" s="175">
        <v>47</v>
      </c>
      <c r="L19" s="177">
        <v>2532.5300000000002</v>
      </c>
      <c r="M19" s="178">
        <f t="shared" si="2"/>
        <v>53.883617021276599</v>
      </c>
      <c r="N19" s="164">
        <v>25</v>
      </c>
      <c r="O19" s="177">
        <v>1418.44</v>
      </c>
      <c r="P19" s="178">
        <f t="shared" si="3"/>
        <v>56.7376</v>
      </c>
      <c r="Q19" s="164">
        <v>75</v>
      </c>
      <c r="R19" s="177">
        <v>3642.55</v>
      </c>
      <c r="S19" s="178">
        <f t="shared" si="4"/>
        <v>48.567333333333337</v>
      </c>
      <c r="T19" s="175"/>
      <c r="U19" s="176">
        <v>15</v>
      </c>
      <c r="V19" s="177">
        <v>238.19768258064522</v>
      </c>
      <c r="W19" s="177">
        <f t="shared" si="7"/>
        <v>15.879845505376348</v>
      </c>
      <c r="X19" s="176">
        <v>226</v>
      </c>
      <c r="Y19" s="177">
        <v>1608.4</v>
      </c>
      <c r="Z19" s="197">
        <f t="shared" si="5"/>
        <v>7.1168141592920362</v>
      </c>
      <c r="AA19" s="175"/>
      <c r="AB19" s="176"/>
      <c r="AC19" s="176"/>
      <c r="AD19" s="176"/>
      <c r="AE19" s="176"/>
      <c r="AF19" s="179"/>
      <c r="AG19" s="198">
        <v>105</v>
      </c>
      <c r="AH19" s="104">
        <v>1229.4000000000001</v>
      </c>
      <c r="AI19" s="172">
        <f t="shared" si="8"/>
        <v>11.70857142857143</v>
      </c>
      <c r="AJ19" s="199">
        <f t="shared" si="6"/>
        <v>41818.157682580662</v>
      </c>
    </row>
    <row r="20" spans="1:36" x14ac:dyDescent="0.25">
      <c r="A20" s="163">
        <v>45792</v>
      </c>
      <c r="B20" s="175">
        <v>200</v>
      </c>
      <c r="C20" s="176">
        <v>210</v>
      </c>
      <c r="D20" s="176">
        <v>205</v>
      </c>
      <c r="E20" s="176">
        <v>37</v>
      </c>
      <c r="F20" s="165">
        <v>341</v>
      </c>
      <c r="G20" s="176"/>
      <c r="H20" s="165">
        <f t="shared" si="0"/>
        <v>357.20000000000005</v>
      </c>
      <c r="I20" s="177">
        <v>25056.57</v>
      </c>
      <c r="J20" s="181">
        <f t="shared" si="1"/>
        <v>70.147172452407602</v>
      </c>
      <c r="K20" s="175">
        <v>47</v>
      </c>
      <c r="L20" s="177">
        <v>2038.55</v>
      </c>
      <c r="M20" s="178">
        <f t="shared" si="2"/>
        <v>43.373404255319151</v>
      </c>
      <c r="N20" s="164">
        <v>25</v>
      </c>
      <c r="O20" s="177">
        <v>1484.5</v>
      </c>
      <c r="P20" s="178">
        <f t="shared" si="3"/>
        <v>59.38</v>
      </c>
      <c r="Q20" s="164">
        <v>75</v>
      </c>
      <c r="R20" s="177">
        <v>3538.39</v>
      </c>
      <c r="S20" s="178">
        <f t="shared" si="4"/>
        <v>47.178533333333334</v>
      </c>
      <c r="T20" s="175"/>
      <c r="U20" s="176">
        <v>15</v>
      </c>
      <c r="V20" s="177">
        <v>208</v>
      </c>
      <c r="W20" s="177">
        <f t="shared" si="7"/>
        <v>13.866666666666667</v>
      </c>
      <c r="X20" s="176">
        <v>201</v>
      </c>
      <c r="Y20" s="177">
        <v>1407.7000000000003</v>
      </c>
      <c r="Z20" s="197">
        <f t="shared" si="5"/>
        <v>7.0034825870646777</v>
      </c>
      <c r="AA20" s="175"/>
      <c r="AB20" s="176"/>
      <c r="AC20" s="176"/>
      <c r="AD20" s="176"/>
      <c r="AE20" s="176"/>
      <c r="AF20" s="179"/>
      <c r="AG20" s="198">
        <v>105</v>
      </c>
      <c r="AH20" s="104">
        <v>1234.5899999999999</v>
      </c>
      <c r="AI20" s="172">
        <f t="shared" si="8"/>
        <v>11.757999999999999</v>
      </c>
      <c r="AJ20" s="199">
        <f t="shared" si="6"/>
        <v>34968.299999999996</v>
      </c>
    </row>
    <row r="21" spans="1:36" x14ac:dyDescent="0.25">
      <c r="A21" s="163">
        <v>45793</v>
      </c>
      <c r="B21" s="175">
        <v>85</v>
      </c>
      <c r="C21" s="176">
        <v>95</v>
      </c>
      <c r="D21" s="176">
        <v>85</v>
      </c>
      <c r="E21" s="176">
        <v>32</v>
      </c>
      <c r="F21" s="165">
        <v>336</v>
      </c>
      <c r="G21" s="176"/>
      <c r="H21" s="165">
        <f t="shared" si="0"/>
        <v>236.20000000000002</v>
      </c>
      <c r="I21" s="177">
        <v>17545.164000000001</v>
      </c>
      <c r="J21" s="181">
        <f t="shared" si="1"/>
        <v>74.28096528365792</v>
      </c>
      <c r="K21" s="175">
        <v>47</v>
      </c>
      <c r="L21" s="177">
        <v>2118.2000000000003</v>
      </c>
      <c r="M21" s="178">
        <f t="shared" si="2"/>
        <v>45.068085106382988</v>
      </c>
      <c r="N21" s="164">
        <v>25</v>
      </c>
      <c r="O21" s="177">
        <v>1390.92</v>
      </c>
      <c r="P21" s="178">
        <f t="shared" si="3"/>
        <v>55.636800000000001</v>
      </c>
      <c r="Q21" s="164">
        <v>75</v>
      </c>
      <c r="R21" s="177">
        <v>3476.6600000000003</v>
      </c>
      <c r="S21" s="178">
        <f t="shared" si="4"/>
        <v>46.355466666666672</v>
      </c>
      <c r="T21" s="175"/>
      <c r="U21" s="176"/>
      <c r="V21" s="177"/>
      <c r="W21" s="177" t="e">
        <f t="shared" si="7"/>
        <v>#DIV/0!</v>
      </c>
      <c r="X21" s="176">
        <v>54</v>
      </c>
      <c r="Y21" s="177">
        <v>364.20000000000005</v>
      </c>
      <c r="Z21" s="197">
        <f t="shared" si="5"/>
        <v>6.7444444444444454</v>
      </c>
      <c r="AA21" s="175"/>
      <c r="AB21" s="176"/>
      <c r="AC21" s="176"/>
      <c r="AD21" s="176"/>
      <c r="AE21" s="176"/>
      <c r="AF21" s="179"/>
      <c r="AG21" s="198">
        <v>105</v>
      </c>
      <c r="AH21" s="104">
        <v>1166.79</v>
      </c>
      <c r="AI21" s="172">
        <f t="shared" si="8"/>
        <v>11.112285714285713</v>
      </c>
      <c r="AJ21" s="199">
        <f t="shared" si="6"/>
        <v>26061.934000000001</v>
      </c>
    </row>
    <row r="22" spans="1:36" x14ac:dyDescent="0.25">
      <c r="A22" s="163">
        <v>45794</v>
      </c>
      <c r="B22" s="175">
        <v>85</v>
      </c>
      <c r="C22" s="176">
        <v>95</v>
      </c>
      <c r="D22" s="176">
        <v>85</v>
      </c>
      <c r="E22" s="176">
        <v>32</v>
      </c>
      <c r="F22" s="165">
        <v>291</v>
      </c>
      <c r="G22" s="176"/>
      <c r="H22" s="165">
        <f t="shared" si="0"/>
        <v>218.20000000000002</v>
      </c>
      <c r="I22" s="177">
        <v>18080.619999999995</v>
      </c>
      <c r="J22" s="181">
        <f t="shared" si="1"/>
        <v>82.862603116406945</v>
      </c>
      <c r="K22" s="175">
        <v>47</v>
      </c>
      <c r="L22" s="177">
        <v>2194.7999999999997</v>
      </c>
      <c r="M22" s="178">
        <f t="shared" si="2"/>
        <v>46.697872340425526</v>
      </c>
      <c r="N22" s="164">
        <v>25</v>
      </c>
      <c r="O22" s="177">
        <v>1232.8999999999999</v>
      </c>
      <c r="P22" s="178">
        <f t="shared" si="3"/>
        <v>49.315999999999995</v>
      </c>
      <c r="Q22" s="164">
        <v>75</v>
      </c>
      <c r="R22" s="177">
        <v>4511.32</v>
      </c>
      <c r="S22" s="178">
        <f t="shared" si="4"/>
        <v>60.150933333333327</v>
      </c>
      <c r="T22" s="175"/>
      <c r="U22" s="176"/>
      <c r="V22" s="177"/>
      <c r="W22" s="177" t="e">
        <f t="shared" si="7"/>
        <v>#DIV/0!</v>
      </c>
      <c r="X22" s="176">
        <v>41</v>
      </c>
      <c r="Y22" s="177">
        <v>287.10000000000002</v>
      </c>
      <c r="Z22" s="197">
        <f t="shared" si="5"/>
        <v>7.0024390243902443</v>
      </c>
      <c r="AA22" s="175"/>
      <c r="AB22" s="176"/>
      <c r="AC22" s="176"/>
      <c r="AD22" s="176"/>
      <c r="AE22" s="176"/>
      <c r="AF22" s="179"/>
      <c r="AG22" s="198">
        <v>105</v>
      </c>
      <c r="AH22" s="104">
        <v>1109.76</v>
      </c>
      <c r="AI22" s="172">
        <f t="shared" si="8"/>
        <v>10.569142857142857</v>
      </c>
      <c r="AJ22" s="199">
        <f t="shared" si="6"/>
        <v>27416.499999999993</v>
      </c>
    </row>
    <row r="23" spans="1:36" x14ac:dyDescent="0.25">
      <c r="A23" s="163">
        <v>45795</v>
      </c>
      <c r="B23" s="175">
        <v>200</v>
      </c>
      <c r="C23" s="176">
        <v>210</v>
      </c>
      <c r="D23" s="176">
        <v>250</v>
      </c>
      <c r="E23" s="176">
        <v>37</v>
      </c>
      <c r="F23" s="165">
        <v>336</v>
      </c>
      <c r="G23" s="176"/>
      <c r="H23" s="165">
        <f t="shared" si="0"/>
        <v>373.20000000000005</v>
      </c>
      <c r="I23" s="177">
        <v>34230.47</v>
      </c>
      <c r="J23" s="181">
        <f t="shared" si="1"/>
        <v>91.721516613076091</v>
      </c>
      <c r="K23" s="175">
        <v>47</v>
      </c>
      <c r="L23" s="177">
        <v>4965.2900000000009</v>
      </c>
      <c r="M23" s="178">
        <f t="shared" si="2"/>
        <v>105.6444680851064</v>
      </c>
      <c r="N23" s="164">
        <v>25</v>
      </c>
      <c r="O23" s="177">
        <v>1133.6399999999999</v>
      </c>
      <c r="P23" s="178">
        <f t="shared" si="3"/>
        <v>45.345599999999997</v>
      </c>
      <c r="Q23" s="164">
        <v>75</v>
      </c>
      <c r="R23" s="177">
        <v>3367.4983999999999</v>
      </c>
      <c r="S23" s="178">
        <f t="shared" si="4"/>
        <v>44.899978666666669</v>
      </c>
      <c r="T23" s="175"/>
      <c r="U23" s="176">
        <v>151</v>
      </c>
      <c r="V23" s="177">
        <v>2116.9609599999994</v>
      </c>
      <c r="W23" s="177">
        <f t="shared" si="7"/>
        <v>14.019609006622513</v>
      </c>
      <c r="X23" s="176">
        <v>236</v>
      </c>
      <c r="Y23" s="177">
        <v>1575.85</v>
      </c>
      <c r="Z23" s="197">
        <f t="shared" si="5"/>
        <v>6.6773305084745758</v>
      </c>
      <c r="AA23" s="175"/>
      <c r="AB23" s="176"/>
      <c r="AC23" s="176"/>
      <c r="AD23" s="176"/>
      <c r="AE23" s="176"/>
      <c r="AF23" s="179"/>
      <c r="AG23" s="198">
        <v>105</v>
      </c>
      <c r="AH23" s="104">
        <v>1185.05</v>
      </c>
      <c r="AI23" s="172">
        <f t="shared" si="8"/>
        <v>11.286190476190475</v>
      </c>
      <c r="AJ23" s="199">
        <f t="shared" si="6"/>
        <v>48574.759359999996</v>
      </c>
    </row>
    <row r="24" spans="1:36" x14ac:dyDescent="0.25">
      <c r="A24" s="163">
        <v>45796</v>
      </c>
      <c r="B24" s="175">
        <v>200</v>
      </c>
      <c r="C24" s="176">
        <v>210</v>
      </c>
      <c r="D24" s="176">
        <v>226</v>
      </c>
      <c r="E24" s="176">
        <v>37</v>
      </c>
      <c r="F24" s="165">
        <v>336</v>
      </c>
      <c r="G24" s="176"/>
      <c r="H24" s="165">
        <f t="shared" si="0"/>
        <v>363.6</v>
      </c>
      <c r="I24" s="177">
        <v>23499.079999999998</v>
      </c>
      <c r="J24" s="181">
        <f t="shared" si="1"/>
        <v>64.628932893289317</v>
      </c>
      <c r="K24" s="175">
        <v>47</v>
      </c>
      <c r="L24" s="177">
        <v>2291.42</v>
      </c>
      <c r="M24" s="178">
        <f t="shared" si="2"/>
        <v>48.753617021276597</v>
      </c>
      <c r="N24" s="164">
        <v>25</v>
      </c>
      <c r="O24" s="177">
        <v>1627.6399999999999</v>
      </c>
      <c r="P24" s="178">
        <f t="shared" si="3"/>
        <v>65.105599999999995</v>
      </c>
      <c r="Q24" s="164">
        <v>75</v>
      </c>
      <c r="R24" s="177">
        <v>4295.3999999999996</v>
      </c>
      <c r="S24" s="178">
        <f t="shared" si="4"/>
        <v>57.271999999999998</v>
      </c>
      <c r="T24" s="175"/>
      <c r="U24" s="176">
        <v>39</v>
      </c>
      <c r="V24" s="177">
        <v>546.30000000000007</v>
      </c>
      <c r="W24" s="177">
        <f t="shared" si="7"/>
        <v>14.007692307692309</v>
      </c>
      <c r="X24" s="176">
        <v>220</v>
      </c>
      <c r="Y24" s="177">
        <v>1525.6</v>
      </c>
      <c r="Z24" s="197">
        <f t="shared" si="5"/>
        <v>6.9345454545454546</v>
      </c>
      <c r="AA24" s="175"/>
      <c r="AB24" s="176"/>
      <c r="AC24" s="176"/>
      <c r="AD24" s="176"/>
      <c r="AE24" s="176"/>
      <c r="AF24" s="179"/>
      <c r="AG24" s="198">
        <v>105</v>
      </c>
      <c r="AH24" s="104">
        <v>1222.83</v>
      </c>
      <c r="AI24" s="172">
        <f t="shared" si="8"/>
        <v>11.645999999999999</v>
      </c>
      <c r="AJ24" s="199">
        <f t="shared" si="6"/>
        <v>35008.270000000004</v>
      </c>
    </row>
    <row r="25" spans="1:36" x14ac:dyDescent="0.25">
      <c r="A25" s="163">
        <v>45797</v>
      </c>
      <c r="B25" s="175">
        <v>200</v>
      </c>
      <c r="C25" s="176">
        <v>210</v>
      </c>
      <c r="D25" s="176">
        <v>221</v>
      </c>
      <c r="E25" s="176">
        <v>37</v>
      </c>
      <c r="F25" s="165">
        <v>255</v>
      </c>
      <c r="G25" s="176"/>
      <c r="H25" s="165">
        <f t="shared" si="0"/>
        <v>329.2</v>
      </c>
      <c r="I25" s="177">
        <v>28745.51</v>
      </c>
      <c r="J25" s="181">
        <f t="shared" si="1"/>
        <v>87.31928918590522</v>
      </c>
      <c r="K25" s="175">
        <v>46</v>
      </c>
      <c r="L25" s="177">
        <v>2858.53</v>
      </c>
      <c r="M25" s="178">
        <f t="shared" si="2"/>
        <v>62.141956521739132</v>
      </c>
      <c r="N25" s="164">
        <v>25</v>
      </c>
      <c r="O25" s="177">
        <v>1096.04</v>
      </c>
      <c r="P25" s="178">
        <f t="shared" si="3"/>
        <v>43.8416</v>
      </c>
      <c r="Q25" s="164">
        <v>75</v>
      </c>
      <c r="R25" s="177">
        <v>3914.5</v>
      </c>
      <c r="S25" s="178">
        <f t="shared" si="4"/>
        <v>52.193333333333335</v>
      </c>
      <c r="T25" s="175"/>
      <c r="U25" s="176">
        <v>7</v>
      </c>
      <c r="V25" s="177">
        <v>97.200000000000017</v>
      </c>
      <c r="W25" s="177">
        <f t="shared" si="7"/>
        <v>13.885714285714288</v>
      </c>
      <c r="X25" s="176">
        <v>156</v>
      </c>
      <c r="Y25" s="177">
        <v>1087.2</v>
      </c>
      <c r="Z25" s="197">
        <f t="shared" si="5"/>
        <v>6.9692307692307693</v>
      </c>
      <c r="AA25" s="175"/>
      <c r="AB25" s="176"/>
      <c r="AC25" s="176"/>
      <c r="AD25" s="176"/>
      <c r="AE25" s="176"/>
      <c r="AF25" s="179"/>
      <c r="AG25" s="198">
        <v>105</v>
      </c>
      <c r="AH25" s="104">
        <v>1132.25</v>
      </c>
      <c r="AI25" s="172">
        <f t="shared" si="8"/>
        <v>10.783333333333333</v>
      </c>
      <c r="AJ25" s="199">
        <f t="shared" si="6"/>
        <v>38931.229999999996</v>
      </c>
    </row>
    <row r="26" spans="1:36" x14ac:dyDescent="0.25">
      <c r="A26" s="163">
        <v>45798</v>
      </c>
      <c r="B26" s="175">
        <v>200</v>
      </c>
      <c r="C26" s="176">
        <v>210</v>
      </c>
      <c r="D26" s="176">
        <v>213</v>
      </c>
      <c r="E26" s="176">
        <v>37</v>
      </c>
      <c r="F26" s="165">
        <v>255</v>
      </c>
      <c r="G26" s="176"/>
      <c r="H26" s="165">
        <f t="shared" si="0"/>
        <v>326</v>
      </c>
      <c r="I26" s="177">
        <v>25143.590800000005</v>
      </c>
      <c r="J26" s="181">
        <f t="shared" si="1"/>
        <v>77.127579141104306</v>
      </c>
      <c r="K26" s="175">
        <v>46</v>
      </c>
      <c r="L26" s="177">
        <v>2536.2399999999998</v>
      </c>
      <c r="M26" s="178">
        <f t="shared" si="2"/>
        <v>55.135652173913037</v>
      </c>
      <c r="N26" s="164">
        <v>25</v>
      </c>
      <c r="O26" s="177">
        <v>1560.3000000000002</v>
      </c>
      <c r="P26" s="178">
        <f t="shared" si="3"/>
        <v>62.412000000000006</v>
      </c>
      <c r="Q26" s="164">
        <v>75</v>
      </c>
      <c r="R26" s="177">
        <v>4848.5300000000007</v>
      </c>
      <c r="S26" s="178">
        <f t="shared" si="4"/>
        <v>64.647066666666674</v>
      </c>
      <c r="T26" s="175"/>
      <c r="U26" s="176">
        <v>7</v>
      </c>
      <c r="V26" s="177">
        <v>104</v>
      </c>
      <c r="W26" s="177">
        <f t="shared" si="7"/>
        <v>14.857142857142858</v>
      </c>
      <c r="X26" s="176">
        <v>154</v>
      </c>
      <c r="Y26" s="177">
        <v>1056.5999999999999</v>
      </c>
      <c r="Z26" s="197">
        <f t="shared" si="5"/>
        <v>6.8610389610389602</v>
      </c>
      <c r="AA26" s="175"/>
      <c r="AB26" s="176"/>
      <c r="AC26" s="176"/>
      <c r="AD26" s="176"/>
      <c r="AE26" s="176"/>
      <c r="AF26" s="179"/>
      <c r="AG26" s="198">
        <v>105</v>
      </c>
      <c r="AH26" s="104">
        <v>1230.9000000000001</v>
      </c>
      <c r="AI26" s="172">
        <f t="shared" si="8"/>
        <v>11.722857142857144</v>
      </c>
      <c r="AJ26" s="199">
        <f t="shared" si="6"/>
        <v>36480.160800000005</v>
      </c>
    </row>
    <row r="27" spans="1:36" x14ac:dyDescent="0.25">
      <c r="A27" s="163">
        <v>45799</v>
      </c>
      <c r="B27" s="175">
        <v>200</v>
      </c>
      <c r="C27" s="176">
        <v>210</v>
      </c>
      <c r="D27" s="176">
        <v>205</v>
      </c>
      <c r="E27" s="176">
        <v>37</v>
      </c>
      <c r="F27" s="165">
        <v>291</v>
      </c>
      <c r="G27" s="176"/>
      <c r="H27" s="165">
        <f t="shared" si="0"/>
        <v>337.2</v>
      </c>
      <c r="I27" s="177">
        <v>26301.99</v>
      </c>
      <c r="J27" s="181">
        <f t="shared" si="1"/>
        <v>78.001156583629907</v>
      </c>
      <c r="K27" s="175">
        <v>46</v>
      </c>
      <c r="L27" s="177">
        <v>2783.99</v>
      </c>
      <c r="M27" s="178">
        <f t="shared" si="2"/>
        <v>60.521521739130428</v>
      </c>
      <c r="N27" s="164">
        <v>25</v>
      </c>
      <c r="O27" s="177">
        <v>2077.9800000000005</v>
      </c>
      <c r="P27" s="178">
        <f t="shared" si="3"/>
        <v>83.119200000000021</v>
      </c>
      <c r="Q27" s="164">
        <v>75</v>
      </c>
      <c r="R27" s="177">
        <v>4342.1099999999997</v>
      </c>
      <c r="S27" s="178">
        <f t="shared" si="4"/>
        <v>57.894799999999996</v>
      </c>
      <c r="T27" s="175"/>
      <c r="U27" s="176">
        <v>6</v>
      </c>
      <c r="V27" s="177">
        <v>104</v>
      </c>
      <c r="W27" s="177">
        <f t="shared" si="7"/>
        <v>17.333333333333332</v>
      </c>
      <c r="X27" s="176">
        <v>139</v>
      </c>
      <c r="Y27" s="177">
        <v>1034.5999999999999</v>
      </c>
      <c r="Z27" s="197">
        <f t="shared" si="5"/>
        <v>7.4431654676258985</v>
      </c>
      <c r="AA27" s="175"/>
      <c r="AB27" s="176"/>
      <c r="AC27" s="176"/>
      <c r="AD27" s="176"/>
      <c r="AE27" s="176"/>
      <c r="AF27" s="179"/>
      <c r="AG27" s="198">
        <v>105</v>
      </c>
      <c r="AH27" s="104">
        <v>1192.9100000000001</v>
      </c>
      <c r="AI27" s="172">
        <f t="shared" si="8"/>
        <v>11.36104761904762</v>
      </c>
      <c r="AJ27" s="199">
        <f t="shared" si="6"/>
        <v>37837.58</v>
      </c>
    </row>
    <row r="28" spans="1:36" x14ac:dyDescent="0.25">
      <c r="A28" s="163">
        <v>45800</v>
      </c>
      <c r="B28" s="175">
        <v>85</v>
      </c>
      <c r="C28" s="176">
        <v>95</v>
      </c>
      <c r="D28" s="176">
        <v>85</v>
      </c>
      <c r="E28" s="176">
        <v>32</v>
      </c>
      <c r="F28" s="165">
        <v>322</v>
      </c>
      <c r="G28" s="176"/>
      <c r="H28" s="165">
        <f t="shared" si="0"/>
        <v>230.60000000000002</v>
      </c>
      <c r="I28" s="177">
        <v>24880.639999999996</v>
      </c>
      <c r="J28" s="181">
        <f t="shared" si="1"/>
        <v>107.89522983521246</v>
      </c>
      <c r="K28" s="175">
        <v>46</v>
      </c>
      <c r="L28" s="177">
        <v>3058.65</v>
      </c>
      <c r="M28" s="178">
        <f t="shared" si="2"/>
        <v>66.492391304347834</v>
      </c>
      <c r="N28" s="164">
        <v>25</v>
      </c>
      <c r="O28" s="177">
        <v>1378.7600000000002</v>
      </c>
      <c r="P28" s="178">
        <f t="shared" si="3"/>
        <v>55.150400000000012</v>
      </c>
      <c r="Q28" s="164">
        <v>75</v>
      </c>
      <c r="R28" s="177">
        <v>4049.4000000000005</v>
      </c>
      <c r="S28" s="178">
        <f t="shared" si="4"/>
        <v>53.992000000000004</v>
      </c>
      <c r="T28" s="175"/>
      <c r="U28" s="176">
        <v>6</v>
      </c>
      <c r="V28" s="177">
        <v>52</v>
      </c>
      <c r="W28" s="177">
        <f t="shared" si="7"/>
        <v>8.6666666666666661</v>
      </c>
      <c r="X28" s="176">
        <v>34</v>
      </c>
      <c r="Y28" s="177">
        <v>240.35</v>
      </c>
      <c r="Z28" s="197">
        <f t="shared" si="5"/>
        <v>7.0691176470588237</v>
      </c>
      <c r="AA28" s="175"/>
      <c r="AB28" s="176"/>
      <c r="AC28" s="176"/>
      <c r="AD28" s="176"/>
      <c r="AE28" s="176"/>
      <c r="AF28" s="179"/>
      <c r="AG28" s="198">
        <v>105</v>
      </c>
      <c r="AH28" s="104">
        <v>1132.75</v>
      </c>
      <c r="AI28" s="172">
        <f t="shared" si="8"/>
        <v>10.788095238095238</v>
      </c>
      <c r="AJ28" s="199">
        <f t="shared" si="6"/>
        <v>34792.549999999996</v>
      </c>
    </row>
    <row r="29" spans="1:36" x14ac:dyDescent="0.25">
      <c r="A29" s="163">
        <v>45801</v>
      </c>
      <c r="B29" s="175">
        <v>85</v>
      </c>
      <c r="C29" s="176">
        <v>95</v>
      </c>
      <c r="D29" s="176">
        <v>85</v>
      </c>
      <c r="E29" s="176">
        <v>32</v>
      </c>
      <c r="F29" s="165">
        <v>249</v>
      </c>
      <c r="G29" s="176"/>
      <c r="H29" s="165">
        <f t="shared" si="0"/>
        <v>201.4</v>
      </c>
      <c r="I29" s="177">
        <v>18528.044999999998</v>
      </c>
      <c r="J29" s="181">
        <f t="shared" si="1"/>
        <v>91.996251241310816</v>
      </c>
      <c r="K29" s="175">
        <v>47</v>
      </c>
      <c r="L29" s="177">
        <v>2492.96</v>
      </c>
      <c r="M29" s="178">
        <f t="shared" si="2"/>
        <v>53.041702127659576</v>
      </c>
      <c r="N29" s="164">
        <v>25</v>
      </c>
      <c r="O29" s="177">
        <v>1368.04</v>
      </c>
      <c r="P29" s="178">
        <f t="shared" si="3"/>
        <v>54.721599999999995</v>
      </c>
      <c r="Q29" s="164">
        <v>75</v>
      </c>
      <c r="R29" s="177">
        <v>4210.3999999999996</v>
      </c>
      <c r="S29" s="178">
        <f t="shared" si="4"/>
        <v>56.138666666666659</v>
      </c>
      <c r="T29" s="175"/>
      <c r="U29" s="176">
        <v>136</v>
      </c>
      <c r="V29" s="177">
        <v>1913.7</v>
      </c>
      <c r="W29" s="177">
        <f t="shared" si="7"/>
        <v>14.071323529411766</v>
      </c>
      <c r="X29" s="176">
        <v>31</v>
      </c>
      <c r="Y29" s="177">
        <v>217.73000000000002</v>
      </c>
      <c r="Z29" s="197">
        <f t="shared" si="5"/>
        <v>7.023548387096775</v>
      </c>
      <c r="AA29" s="175"/>
      <c r="AB29" s="176"/>
      <c r="AC29" s="176"/>
      <c r="AD29" s="176"/>
      <c r="AE29" s="176"/>
      <c r="AF29" s="179"/>
      <c r="AG29" s="198">
        <v>105</v>
      </c>
      <c r="AH29" s="104">
        <v>1270.0999999999999</v>
      </c>
      <c r="AI29" s="172">
        <f t="shared" si="8"/>
        <v>12.096190476190475</v>
      </c>
      <c r="AJ29" s="199">
        <f t="shared" si="6"/>
        <v>30000.974999999999</v>
      </c>
    </row>
    <row r="30" spans="1:36" x14ac:dyDescent="0.25">
      <c r="A30" s="163">
        <v>45802</v>
      </c>
      <c r="B30" s="175">
        <v>200</v>
      </c>
      <c r="C30" s="176">
        <v>210</v>
      </c>
      <c r="D30" s="176">
        <v>267</v>
      </c>
      <c r="E30" s="176">
        <v>37</v>
      </c>
      <c r="F30" s="165">
        <v>284</v>
      </c>
      <c r="G30" s="176"/>
      <c r="H30" s="165">
        <f t="shared" si="0"/>
        <v>359.20000000000005</v>
      </c>
      <c r="I30" s="177">
        <v>29979.99</v>
      </c>
      <c r="J30" s="181">
        <f t="shared" si="1"/>
        <v>83.463223830734961</v>
      </c>
      <c r="K30" s="175">
        <v>46</v>
      </c>
      <c r="L30" s="177">
        <v>2912.3067999999998</v>
      </c>
      <c r="M30" s="178">
        <f t="shared" si="2"/>
        <v>63.311017391304347</v>
      </c>
      <c r="N30" s="164">
        <v>25</v>
      </c>
      <c r="O30" s="177">
        <v>1674.44</v>
      </c>
      <c r="P30" s="178">
        <f t="shared" si="3"/>
        <v>66.977599999999995</v>
      </c>
      <c r="Q30" s="175">
        <v>75</v>
      </c>
      <c r="R30" s="177">
        <v>5087.79</v>
      </c>
      <c r="S30" s="178">
        <f t="shared" si="4"/>
        <v>67.837199999999996</v>
      </c>
      <c r="T30" s="175"/>
      <c r="U30" s="176">
        <v>6</v>
      </c>
      <c r="V30" s="177">
        <v>84.980000000000018</v>
      </c>
      <c r="W30" s="177">
        <f t="shared" si="7"/>
        <v>14.163333333333336</v>
      </c>
      <c r="X30" s="176">
        <v>152</v>
      </c>
      <c r="Y30" s="177">
        <v>1054.2</v>
      </c>
      <c r="Z30" s="197">
        <f t="shared" si="5"/>
        <v>6.935526315789474</v>
      </c>
      <c r="AA30" s="175"/>
      <c r="AB30" s="176"/>
      <c r="AC30" s="176"/>
      <c r="AD30" s="176"/>
      <c r="AE30" s="176"/>
      <c r="AF30" s="179"/>
      <c r="AG30" s="201">
        <v>105</v>
      </c>
      <c r="AH30" s="104">
        <v>1252.1799999999998</v>
      </c>
      <c r="AI30" s="172">
        <f t="shared" si="8"/>
        <v>11.925523809523808</v>
      </c>
      <c r="AJ30" s="199">
        <f t="shared" si="6"/>
        <v>42045.886800000007</v>
      </c>
    </row>
    <row r="31" spans="1:36" x14ac:dyDescent="0.25">
      <c r="A31" s="163">
        <v>45803</v>
      </c>
      <c r="B31" s="175">
        <v>200</v>
      </c>
      <c r="C31" s="176">
        <v>210</v>
      </c>
      <c r="D31" s="176">
        <v>245</v>
      </c>
      <c r="E31" s="176">
        <v>37</v>
      </c>
      <c r="F31" s="165">
        <v>301</v>
      </c>
      <c r="G31" s="176"/>
      <c r="H31" s="165">
        <f t="shared" si="0"/>
        <v>357.20000000000005</v>
      </c>
      <c r="I31" s="177">
        <v>24951.969999999994</v>
      </c>
      <c r="J31" s="181">
        <f t="shared" si="1"/>
        <v>69.854339305711065</v>
      </c>
      <c r="K31" s="175">
        <v>46</v>
      </c>
      <c r="L31" s="177">
        <v>2242.1500000000005</v>
      </c>
      <c r="M31" s="178">
        <f t="shared" si="2"/>
        <v>48.742391304347841</v>
      </c>
      <c r="N31" s="164">
        <v>25</v>
      </c>
      <c r="O31" s="177">
        <v>1500</v>
      </c>
      <c r="P31" s="178">
        <f t="shared" si="3"/>
        <v>60</v>
      </c>
      <c r="Q31" s="175">
        <v>75</v>
      </c>
      <c r="R31" s="177">
        <v>4922.17</v>
      </c>
      <c r="S31" s="178">
        <f t="shared" si="4"/>
        <v>65.628933333333336</v>
      </c>
      <c r="T31" s="175"/>
      <c r="U31" s="176">
        <v>7</v>
      </c>
      <c r="V31" s="176">
        <v>98.019999999999953</v>
      </c>
      <c r="W31" s="177">
        <f t="shared" si="7"/>
        <v>14.002857142857136</v>
      </c>
      <c r="X31" s="176">
        <v>616</v>
      </c>
      <c r="Y31" s="177">
        <v>4412.87</v>
      </c>
      <c r="Z31" s="197">
        <f t="shared" si="5"/>
        <v>7.1637499999999994</v>
      </c>
      <c r="AA31" s="175"/>
      <c r="AB31" s="176"/>
      <c r="AC31" s="176"/>
      <c r="AD31" s="176"/>
      <c r="AE31" s="176"/>
      <c r="AF31" s="179"/>
      <c r="AG31" s="201">
        <v>105</v>
      </c>
      <c r="AH31" s="104">
        <v>1210.4000000000001</v>
      </c>
      <c r="AI31" s="172">
        <f t="shared" si="8"/>
        <v>11.527619047619048</v>
      </c>
      <c r="AJ31" s="199">
        <f t="shared" si="6"/>
        <v>39337.579999999994</v>
      </c>
    </row>
    <row r="32" spans="1:36" x14ac:dyDescent="0.25">
      <c r="A32" s="163">
        <v>45804</v>
      </c>
      <c r="B32" s="175">
        <v>200</v>
      </c>
      <c r="C32" s="176">
        <v>210</v>
      </c>
      <c r="D32" s="176">
        <v>206</v>
      </c>
      <c r="E32" s="176">
        <v>37</v>
      </c>
      <c r="F32" s="165">
        <v>325</v>
      </c>
      <c r="G32" s="176"/>
      <c r="H32" s="165">
        <f>B32*0.2+SUM(C32:F32)*0.4</f>
        <v>351.20000000000005</v>
      </c>
      <c r="I32" s="177">
        <v>26718.325000000001</v>
      </c>
      <c r="J32" s="181">
        <f t="shared" si="1"/>
        <v>76.07723519362186</v>
      </c>
      <c r="K32" s="175">
        <v>47</v>
      </c>
      <c r="L32" s="177">
        <v>2976.55</v>
      </c>
      <c r="M32" s="178">
        <f t="shared" si="2"/>
        <v>63.33085106382979</v>
      </c>
      <c r="N32" s="164">
        <v>25</v>
      </c>
      <c r="O32" s="177">
        <v>1682.4500000000003</v>
      </c>
      <c r="P32" s="178">
        <f t="shared" si="3"/>
        <v>67.298000000000016</v>
      </c>
      <c r="Q32" s="175">
        <v>75</v>
      </c>
      <c r="R32" s="177">
        <v>4419.9900000000007</v>
      </c>
      <c r="S32" s="178">
        <f t="shared" si="4"/>
        <v>58.933200000000006</v>
      </c>
      <c r="T32" s="175"/>
      <c r="U32" s="176">
        <v>7</v>
      </c>
      <c r="V32" s="177">
        <v>95.7</v>
      </c>
      <c r="W32" s="177">
        <f t="shared" si="7"/>
        <v>13.671428571428573</v>
      </c>
      <c r="X32" s="176">
        <v>165</v>
      </c>
      <c r="Y32" s="177">
        <v>1161.5999999999999</v>
      </c>
      <c r="Z32" s="197">
        <f t="shared" si="5"/>
        <v>7.0399999999999991</v>
      </c>
      <c r="AA32" s="175"/>
      <c r="AB32" s="176"/>
      <c r="AC32" s="176"/>
      <c r="AD32" s="176"/>
      <c r="AE32" s="176"/>
      <c r="AF32" s="179"/>
      <c r="AG32" s="201">
        <v>105</v>
      </c>
      <c r="AH32" s="104">
        <v>1229.1200000000001</v>
      </c>
      <c r="AI32" s="172">
        <f t="shared" si="8"/>
        <v>11.705904761904764</v>
      </c>
      <c r="AJ32" s="199">
        <f t="shared" si="6"/>
        <v>38283.735000000001</v>
      </c>
    </row>
    <row r="33" spans="1:36" x14ac:dyDescent="0.25">
      <c r="A33" s="163">
        <v>45805</v>
      </c>
      <c r="B33" s="175">
        <v>200</v>
      </c>
      <c r="C33" s="176">
        <v>210</v>
      </c>
      <c r="D33" s="185">
        <v>209</v>
      </c>
      <c r="E33" s="176">
        <v>37</v>
      </c>
      <c r="F33" s="165">
        <v>301</v>
      </c>
      <c r="G33" s="185"/>
      <c r="H33" s="165">
        <f>B33*0.2+SUM(C33:F33)*0.4</f>
        <v>342.8</v>
      </c>
      <c r="I33" s="187">
        <v>28074.120000000003</v>
      </c>
      <c r="J33" s="181">
        <f t="shared" si="1"/>
        <v>81.896499416569426</v>
      </c>
      <c r="K33" s="184">
        <v>51</v>
      </c>
      <c r="L33" s="187">
        <v>2767.9</v>
      </c>
      <c r="M33" s="178">
        <f t="shared" si="2"/>
        <v>54.272549019607844</v>
      </c>
      <c r="N33" s="164">
        <v>25</v>
      </c>
      <c r="O33" s="187">
        <v>1485.22</v>
      </c>
      <c r="P33" s="178">
        <f t="shared" si="3"/>
        <v>59.408799999999999</v>
      </c>
      <c r="Q33" s="175">
        <v>75</v>
      </c>
      <c r="R33" s="187">
        <v>3750.8999999999996</v>
      </c>
      <c r="S33" s="178">
        <f t="shared" si="4"/>
        <v>50.011999999999993</v>
      </c>
      <c r="T33" s="184"/>
      <c r="U33" s="185">
        <v>7</v>
      </c>
      <c r="V33" s="187"/>
      <c r="W33" s="177">
        <f t="shared" si="7"/>
        <v>0</v>
      </c>
      <c r="X33" s="185">
        <v>171</v>
      </c>
      <c r="Y33" s="187">
        <v>1162.55</v>
      </c>
      <c r="Z33" s="197">
        <f t="shared" si="5"/>
        <v>6.7985380116959062</v>
      </c>
      <c r="AA33" s="184"/>
      <c r="AB33" s="185"/>
      <c r="AC33" s="185"/>
      <c r="AD33" s="185"/>
      <c r="AE33" s="185"/>
      <c r="AF33" s="188"/>
      <c r="AG33" s="201">
        <v>105</v>
      </c>
      <c r="AH33" s="190">
        <v>1226.546</v>
      </c>
      <c r="AI33" s="172">
        <f t="shared" si="8"/>
        <v>11.681390476190476</v>
      </c>
      <c r="AJ33" s="199">
        <f t="shared" si="6"/>
        <v>38467.236000000012</v>
      </c>
    </row>
    <row r="34" spans="1:36" x14ac:dyDescent="0.25">
      <c r="A34" s="163">
        <v>45806</v>
      </c>
      <c r="B34" s="175">
        <v>200</v>
      </c>
      <c r="C34" s="176">
        <v>210</v>
      </c>
      <c r="D34" s="185">
        <v>205</v>
      </c>
      <c r="E34" s="176">
        <v>37</v>
      </c>
      <c r="F34" s="165">
        <v>301</v>
      </c>
      <c r="G34" s="185"/>
      <c r="H34" s="165">
        <f>B34*0.2+SUM(C34:F34)*0.4</f>
        <v>341.2</v>
      </c>
      <c r="I34" s="187">
        <v>23575.710000000003</v>
      </c>
      <c r="J34" s="181">
        <f t="shared" si="1"/>
        <v>69.096453692848783</v>
      </c>
      <c r="K34" s="184">
        <v>51</v>
      </c>
      <c r="L34" s="187">
        <v>2594.67</v>
      </c>
      <c r="M34" s="178">
        <f t="shared" si="2"/>
        <v>50.875882352941176</v>
      </c>
      <c r="N34" s="164">
        <v>25</v>
      </c>
      <c r="O34" s="187">
        <v>1418.27</v>
      </c>
      <c r="P34" s="178">
        <f t="shared" si="3"/>
        <v>56.730800000000002</v>
      </c>
      <c r="Q34" s="175">
        <v>75</v>
      </c>
      <c r="R34" s="187">
        <v>4000</v>
      </c>
      <c r="S34" s="178">
        <f t="shared" si="4"/>
        <v>53.333333333333336</v>
      </c>
      <c r="T34" s="184"/>
      <c r="U34" s="185">
        <v>14</v>
      </c>
      <c r="V34" s="187">
        <v>194.24</v>
      </c>
      <c r="W34" s="177">
        <f t="shared" si="7"/>
        <v>13.874285714285715</v>
      </c>
      <c r="X34" s="185">
        <v>188</v>
      </c>
      <c r="Y34" s="187">
        <v>1479.9199999999998</v>
      </c>
      <c r="Z34" s="197">
        <f t="shared" si="5"/>
        <v>7.8719148936170207</v>
      </c>
      <c r="AA34" s="184"/>
      <c r="AB34" s="185"/>
      <c r="AC34" s="185"/>
      <c r="AD34" s="185"/>
      <c r="AE34" s="185"/>
      <c r="AF34" s="188"/>
      <c r="AG34" s="201">
        <v>105</v>
      </c>
      <c r="AH34" s="190">
        <v>1237.7100000000003</v>
      </c>
      <c r="AI34" s="172">
        <f t="shared" si="8"/>
        <v>11.787714285714289</v>
      </c>
      <c r="AJ34" s="199">
        <f t="shared" si="6"/>
        <v>34500.520000000004</v>
      </c>
    </row>
    <row r="35" spans="1:36" x14ac:dyDescent="0.25">
      <c r="A35" s="163">
        <v>45807</v>
      </c>
      <c r="B35" s="175">
        <v>85</v>
      </c>
      <c r="C35" s="176">
        <v>95</v>
      </c>
      <c r="D35" s="185">
        <v>85</v>
      </c>
      <c r="E35" s="185"/>
      <c r="F35" s="165">
        <v>290</v>
      </c>
      <c r="G35" s="185"/>
      <c r="H35" s="165">
        <f>B35*0.2+SUM(C35:F35)*0.4</f>
        <v>205</v>
      </c>
      <c r="I35" s="187">
        <v>21311.89</v>
      </c>
      <c r="J35" s="181">
        <f t="shared" si="1"/>
        <v>103.96043902439024</v>
      </c>
      <c r="K35" s="184">
        <v>51</v>
      </c>
      <c r="L35" s="187">
        <v>2581.5299999999997</v>
      </c>
      <c r="M35" s="178">
        <f t="shared" si="2"/>
        <v>50.618235294117639</v>
      </c>
      <c r="N35" s="164">
        <v>25</v>
      </c>
      <c r="O35" s="187">
        <v>1561.22</v>
      </c>
      <c r="P35" s="178">
        <f t="shared" si="3"/>
        <v>62.448799999999999</v>
      </c>
      <c r="Q35" s="175">
        <v>75</v>
      </c>
      <c r="R35" s="187">
        <v>3914.0000000000005</v>
      </c>
      <c r="S35" s="178">
        <f t="shared" si="4"/>
        <v>52.186666666666675</v>
      </c>
      <c r="T35" s="184"/>
      <c r="U35" s="185"/>
      <c r="V35" s="187"/>
      <c r="W35" s="177" t="e">
        <f t="shared" si="7"/>
        <v>#DIV/0!</v>
      </c>
      <c r="X35" s="185">
        <v>10</v>
      </c>
      <c r="Y35" s="187">
        <v>72.84</v>
      </c>
      <c r="Z35" s="197">
        <f t="shared" si="5"/>
        <v>7.2840000000000007</v>
      </c>
      <c r="AA35" s="184"/>
      <c r="AB35" s="185"/>
      <c r="AC35" s="185"/>
      <c r="AD35" s="185"/>
      <c r="AE35" s="185"/>
      <c r="AF35" s="188"/>
      <c r="AG35" s="201">
        <v>105</v>
      </c>
      <c r="AH35" s="190">
        <v>1210.4000000000001</v>
      </c>
      <c r="AI35" s="172">
        <f t="shared" si="8"/>
        <v>11.527619047619048</v>
      </c>
      <c r="AJ35" s="199">
        <f t="shared" si="6"/>
        <v>30651.88</v>
      </c>
    </row>
    <row r="36" spans="1:36" ht="15.75" thickBot="1" x14ac:dyDescent="0.3">
      <c r="A36" s="163">
        <v>45808</v>
      </c>
      <c r="B36" s="175">
        <v>85</v>
      </c>
      <c r="C36" s="176">
        <v>95</v>
      </c>
      <c r="D36" s="185">
        <v>87</v>
      </c>
      <c r="E36" s="185"/>
      <c r="F36" s="165">
        <v>290</v>
      </c>
      <c r="G36" s="185"/>
      <c r="H36" s="165">
        <f>B36*0.2+SUM(C36:F36)*0.4</f>
        <v>205.8</v>
      </c>
      <c r="I36" s="187">
        <v>29294.374000000025</v>
      </c>
      <c r="J36" s="181">
        <f t="shared" si="1"/>
        <v>142.34389698736649</v>
      </c>
      <c r="K36" s="184">
        <v>51</v>
      </c>
      <c r="L36" s="187">
        <v>2998.15</v>
      </c>
      <c r="M36" s="178">
        <f t="shared" si="2"/>
        <v>58.787254901960786</v>
      </c>
      <c r="N36" s="164">
        <v>25</v>
      </c>
      <c r="O36" s="187">
        <v>2177.3600000000006</v>
      </c>
      <c r="P36" s="178">
        <f t="shared" si="3"/>
        <v>87.094400000000022</v>
      </c>
      <c r="Q36" s="175">
        <v>75</v>
      </c>
      <c r="R36" s="187">
        <v>4210.3999999999996</v>
      </c>
      <c r="S36" s="178">
        <f t="shared" si="4"/>
        <v>56.138666666666659</v>
      </c>
      <c r="T36" s="184"/>
      <c r="U36" s="185">
        <v>99</v>
      </c>
      <c r="V36" s="185">
        <v>1125</v>
      </c>
      <c r="W36" s="177">
        <f t="shared" si="7"/>
        <v>11.363636363636363</v>
      </c>
      <c r="X36" s="185">
        <v>26</v>
      </c>
      <c r="Y36" s="187">
        <v>150</v>
      </c>
      <c r="Z36" s="197">
        <f t="shared" si="5"/>
        <v>5.7692307692307692</v>
      </c>
      <c r="AA36" s="184"/>
      <c r="AB36" s="185"/>
      <c r="AC36" s="185"/>
      <c r="AD36" s="185"/>
      <c r="AE36" s="185"/>
      <c r="AF36" s="188"/>
      <c r="AG36" s="201">
        <v>105</v>
      </c>
      <c r="AH36" s="190">
        <v>1245.3999999999999</v>
      </c>
      <c r="AI36" s="172">
        <f t="shared" si="8"/>
        <v>11.86095238095238</v>
      </c>
      <c r="AJ36" s="199">
        <f t="shared" si="6"/>
        <v>41200.68400000003</v>
      </c>
    </row>
    <row r="37" spans="1:36" s="39" customFormat="1" ht="26.25" thickBot="1" x14ac:dyDescent="0.3">
      <c r="A37" s="202" t="s">
        <v>77</v>
      </c>
      <c r="B37" s="195">
        <f t="shared" ref="B37:I37" si="9">SUM(B6:B36)</f>
        <v>5050</v>
      </c>
      <c r="C37" s="195">
        <f t="shared" si="9"/>
        <v>5360</v>
      </c>
      <c r="D37" s="195">
        <f t="shared" si="9"/>
        <v>5423</v>
      </c>
      <c r="E37" s="195">
        <f t="shared" si="9"/>
        <v>1143</v>
      </c>
      <c r="F37" s="195">
        <f t="shared" si="9"/>
        <v>9477</v>
      </c>
      <c r="G37" s="195">
        <f t="shared" si="9"/>
        <v>70</v>
      </c>
      <c r="H37" s="195">
        <f t="shared" si="9"/>
        <v>9599.1999999999989</v>
      </c>
      <c r="I37" s="195">
        <f t="shared" si="9"/>
        <v>783855.29399999999</v>
      </c>
      <c r="J37" s="195">
        <f>I37/H37</f>
        <v>81.658397991499299</v>
      </c>
      <c r="K37" s="195">
        <f>SUM(K6:K36)</f>
        <v>1446</v>
      </c>
      <c r="L37" s="195">
        <f>SUM(L6:L36)</f>
        <v>83685.730799999976</v>
      </c>
      <c r="M37" s="195">
        <f>L37/K37</f>
        <v>57.873949377593341</v>
      </c>
      <c r="N37" s="195">
        <f>SUM(N6:N36)</f>
        <v>775</v>
      </c>
      <c r="O37" s="195">
        <f>SUM(O6:O36)</f>
        <v>46132.759999999995</v>
      </c>
      <c r="P37" s="195">
        <f>O37/N37</f>
        <v>59.526141935483864</v>
      </c>
      <c r="Q37" s="195">
        <f>SUM(Q6:Q36)</f>
        <v>2325</v>
      </c>
      <c r="R37" s="195">
        <f>SUM(R6:R36)</f>
        <v>127077.46839999997</v>
      </c>
      <c r="S37" s="195">
        <f>R37/Q37</f>
        <v>54.656975655913968</v>
      </c>
      <c r="T37" s="195">
        <f>SUM(T6:T36)</f>
        <v>0</v>
      </c>
      <c r="U37" s="195">
        <f>SUM(U6:U36)</f>
        <v>905</v>
      </c>
      <c r="V37" s="195">
        <f>SUM(V6:V36)</f>
        <v>12363.279987644777</v>
      </c>
      <c r="W37" s="195"/>
      <c r="X37" s="195">
        <f t="shared" ref="X37:AH37" si="10">SUM(X6:X36)</f>
        <v>5123</v>
      </c>
      <c r="Y37" s="195">
        <f t="shared" si="10"/>
        <v>34922.039999999986</v>
      </c>
      <c r="Z37" s="195">
        <f t="shared" si="10"/>
        <v>211.025490612597</v>
      </c>
      <c r="AA37" s="195">
        <f t="shared" si="10"/>
        <v>0</v>
      </c>
      <c r="AB37" s="195">
        <f t="shared" si="10"/>
        <v>0</v>
      </c>
      <c r="AC37" s="195">
        <f t="shared" si="10"/>
        <v>0</v>
      </c>
      <c r="AD37" s="195">
        <f t="shared" si="10"/>
        <v>0</v>
      </c>
      <c r="AE37" s="195">
        <f t="shared" si="10"/>
        <v>0</v>
      </c>
      <c r="AF37" s="195" t="e">
        <f t="shared" si="10"/>
        <v>#DIV/0!</v>
      </c>
      <c r="AG37" s="195">
        <f t="shared" si="10"/>
        <v>3255</v>
      </c>
      <c r="AH37" s="195">
        <f t="shared" si="10"/>
        <v>36474.436000000002</v>
      </c>
      <c r="AI37" s="195">
        <f>AH37/AG37</f>
        <v>11.205663901689709</v>
      </c>
      <c r="AJ37" s="203">
        <f>SUM(AJ6:AJ36)</f>
        <v>1124511.0091876448</v>
      </c>
    </row>
  </sheetData>
  <sheetProtection algorithmName="SHA-512" hashValue="cWYD8szN2K4UAUJLhtHdVAEkbZMztcXGtxqjya5aoutRu4/8exegnZsDbL3522TmpsOhkGOwb3hMyGL8i8ItLg==" saltValue="EW4l3jWAuNyX6YvNKn872w==" spinCount="100000" sheet="1" scenarios="1" sort="0" autoFilter="0"/>
  <mergeCells count="10">
    <mergeCell ref="A1:AJ1"/>
    <mergeCell ref="A2:AJ2"/>
    <mergeCell ref="A3:AJ3"/>
    <mergeCell ref="B4:J4"/>
    <mergeCell ref="K4:M4"/>
    <mergeCell ref="N4:P4"/>
    <mergeCell ref="Q4:S4"/>
    <mergeCell ref="T4:Z4"/>
    <mergeCell ref="AA4:AF4"/>
    <mergeCell ref="AG4:A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416D-B914-4C9C-BC9A-4C0DB8D4F7F3}">
  <dimension ref="A1:AJ36"/>
  <sheetViews>
    <sheetView zoomScale="80" zoomScaleNormal="80" workbookViewId="0">
      <selection activeCell="K38" sqref="K38"/>
    </sheetView>
  </sheetViews>
  <sheetFormatPr defaultRowHeight="15" x14ac:dyDescent="0.25"/>
  <cols>
    <col min="2" max="4" width="10.140625" bestFit="1" customWidth="1"/>
    <col min="5" max="5" width="9.42578125" bestFit="1" customWidth="1"/>
    <col min="6" max="6" width="11.28515625" bestFit="1" customWidth="1"/>
    <col min="7" max="8" width="10.140625" bestFit="1" customWidth="1"/>
    <col min="9" max="9" width="12.28515625" bestFit="1" customWidth="1"/>
    <col min="11" max="11" width="10.140625" bestFit="1" customWidth="1"/>
    <col min="12" max="12" width="11.28515625" bestFit="1" customWidth="1"/>
    <col min="15" max="15" width="11.28515625" bestFit="1" customWidth="1"/>
    <col min="17" max="17" width="10.140625" bestFit="1" customWidth="1"/>
    <col min="18" max="18" width="12.28515625" bestFit="1" customWidth="1"/>
    <col min="21" max="21" width="10.140625" bestFit="1" customWidth="1"/>
    <col min="22" max="22" width="11.28515625" bestFit="1" customWidth="1"/>
    <col min="24" max="24" width="10.140625" bestFit="1" customWidth="1"/>
    <col min="25" max="25" width="11.28515625" bestFit="1" customWidth="1"/>
    <col min="26" max="26" width="8.5703125" bestFit="1" customWidth="1"/>
    <col min="33" max="33" width="14.85546875" bestFit="1" customWidth="1"/>
    <col min="34" max="34" width="11.28515625" bestFit="1" customWidth="1"/>
    <col min="36" max="36" width="13.85546875" bestFit="1" customWidth="1"/>
  </cols>
  <sheetData>
    <row r="1" spans="1:36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36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36" ht="21.75" thickBot="1" x14ac:dyDescent="0.4">
      <c r="A3" s="308" t="s">
        <v>82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36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63</v>
      </c>
      <c r="O4" s="315"/>
      <c r="P4" s="318"/>
      <c r="Q4" s="314" t="s">
        <v>64</v>
      </c>
      <c r="R4" s="315"/>
      <c r="S4" s="318"/>
      <c r="T4" s="314" t="s">
        <v>65</v>
      </c>
      <c r="U4" s="315"/>
      <c r="V4" s="315"/>
      <c r="W4" s="315"/>
      <c r="X4" s="315"/>
      <c r="Y4" s="315"/>
      <c r="Z4" s="318"/>
      <c r="AA4" s="378" t="s">
        <v>66</v>
      </c>
      <c r="AB4" s="379"/>
      <c r="AC4" s="379"/>
      <c r="AD4" s="379"/>
      <c r="AE4" s="379"/>
      <c r="AF4" s="380"/>
      <c r="AG4" s="320" t="s">
        <v>67</v>
      </c>
      <c r="AH4" s="321"/>
      <c r="AI4" s="322"/>
      <c r="AJ4" s="144" t="s">
        <v>68</v>
      </c>
    </row>
    <row r="5" spans="1:36" ht="39.75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48" t="s">
        <v>69</v>
      </c>
      <c r="O5" s="149" t="s">
        <v>0</v>
      </c>
      <c r="P5" s="150" t="s">
        <v>70</v>
      </c>
      <c r="Q5" s="148" t="s">
        <v>69</v>
      </c>
      <c r="R5" s="149" t="s">
        <v>0</v>
      </c>
      <c r="S5" s="150" t="s">
        <v>70</v>
      </c>
      <c r="T5" s="151" t="s">
        <v>71</v>
      </c>
      <c r="U5" s="152" t="s">
        <v>72</v>
      </c>
      <c r="V5" s="152" t="s">
        <v>73</v>
      </c>
      <c r="W5" s="152" t="s">
        <v>79</v>
      </c>
      <c r="X5" s="153" t="s">
        <v>21</v>
      </c>
      <c r="Y5" s="153" t="s">
        <v>74</v>
      </c>
      <c r="Z5" s="154" t="s">
        <v>16</v>
      </c>
      <c r="AA5" s="155" t="s">
        <v>2</v>
      </c>
      <c r="AB5" s="156" t="s">
        <v>3</v>
      </c>
      <c r="AC5" s="156" t="s">
        <v>4</v>
      </c>
      <c r="AD5" s="157" t="s">
        <v>69</v>
      </c>
      <c r="AE5" s="158" t="s">
        <v>0</v>
      </c>
      <c r="AF5" s="159" t="s">
        <v>70</v>
      </c>
      <c r="AG5" s="160" t="s">
        <v>75</v>
      </c>
      <c r="AH5" s="161" t="s">
        <v>30</v>
      </c>
      <c r="AI5" s="162" t="s">
        <v>76</v>
      </c>
      <c r="AJ5" s="144" t="s">
        <v>68</v>
      </c>
    </row>
    <row r="6" spans="1:36" x14ac:dyDescent="0.25">
      <c r="A6" s="163">
        <v>45809</v>
      </c>
      <c r="B6" s="164">
        <v>200</v>
      </c>
      <c r="C6" s="165">
        <v>220</v>
      </c>
      <c r="D6" s="165">
        <v>211</v>
      </c>
      <c r="E6" s="165"/>
      <c r="F6" s="165">
        <v>370</v>
      </c>
      <c r="G6" s="165"/>
      <c r="H6" s="165">
        <f>B6*0.2+SUM(C6:F6)*0.4</f>
        <v>360.40000000000003</v>
      </c>
      <c r="I6" s="167">
        <v>27335.33</v>
      </c>
      <c r="J6" s="166">
        <f>I6/H6</f>
        <v>75.84719755826859</v>
      </c>
      <c r="K6" s="164">
        <v>50</v>
      </c>
      <c r="L6" s="177">
        <v>2248.9699999999998</v>
      </c>
      <c r="M6" s="168">
        <f>L6/K6</f>
        <v>44.979399999999998</v>
      </c>
      <c r="N6" s="164">
        <v>25</v>
      </c>
      <c r="O6" s="167">
        <v>1712.36</v>
      </c>
      <c r="P6" s="168">
        <f>O6/N6</f>
        <v>68.494399999999999</v>
      </c>
      <c r="Q6" s="164">
        <v>75</v>
      </c>
      <c r="R6" s="167">
        <v>3480</v>
      </c>
      <c r="S6" s="168">
        <f>R6/Q6</f>
        <v>46.4</v>
      </c>
      <c r="T6" s="164"/>
      <c r="U6" s="165">
        <v>142</v>
      </c>
      <c r="V6" s="165">
        <v>1973</v>
      </c>
      <c r="W6" s="177">
        <f>V6/U6</f>
        <v>13.894366197183098</v>
      </c>
      <c r="X6" s="165">
        <v>72</v>
      </c>
      <c r="Y6" s="167">
        <v>398.75</v>
      </c>
      <c r="Z6" s="197">
        <f>Y6/X6</f>
        <v>5.5381944444444446</v>
      </c>
      <c r="AA6" s="164"/>
      <c r="AB6" s="165"/>
      <c r="AC6" s="165"/>
      <c r="AD6" s="165"/>
      <c r="AE6" s="165"/>
      <c r="AF6" s="169" t="e">
        <f>AE6/AD6</f>
        <v>#DIV/0!</v>
      </c>
      <c r="AG6" s="198">
        <v>107</v>
      </c>
      <c r="AH6" s="171">
        <v>1182.2</v>
      </c>
      <c r="AI6" s="172">
        <f>AH6/AG6</f>
        <v>11.048598130841121</v>
      </c>
      <c r="AJ6" s="199">
        <f>I6+L6+O6+R6+V6+Y6+AH6</f>
        <v>38330.61</v>
      </c>
    </row>
    <row r="7" spans="1:36" x14ac:dyDescent="0.25">
      <c r="A7" s="163">
        <v>45810</v>
      </c>
      <c r="B7" s="164">
        <v>200</v>
      </c>
      <c r="C7" s="165">
        <v>210</v>
      </c>
      <c r="D7" s="165">
        <v>221</v>
      </c>
      <c r="E7" s="176"/>
      <c r="F7" s="165">
        <v>374</v>
      </c>
      <c r="G7" s="176"/>
      <c r="H7" s="165">
        <f t="shared" ref="H7:H31" si="0">B7*0.2+SUM(C7:F7)*0.4</f>
        <v>362</v>
      </c>
      <c r="I7" s="177">
        <v>29434.099999999991</v>
      </c>
      <c r="J7" s="166">
        <f t="shared" ref="J7:J35" si="1">I7/H7</f>
        <v>81.309668508287274</v>
      </c>
      <c r="K7" s="175">
        <v>50</v>
      </c>
      <c r="L7" s="177">
        <v>2248.9699999999998</v>
      </c>
      <c r="M7" s="178">
        <f t="shared" ref="M7:M35" si="2">L7/K7</f>
        <v>44.979399999999998</v>
      </c>
      <c r="N7" s="164">
        <v>25</v>
      </c>
      <c r="O7" s="177">
        <v>2019.94</v>
      </c>
      <c r="P7" s="178">
        <f t="shared" ref="P7:P35" si="3">O7/N7</f>
        <v>80.797600000000003</v>
      </c>
      <c r="Q7" s="164">
        <v>75</v>
      </c>
      <c r="R7" s="177">
        <v>3600</v>
      </c>
      <c r="S7" s="178">
        <f t="shared" ref="S7:S35" si="4">R7/Q7</f>
        <v>48</v>
      </c>
      <c r="T7" s="175"/>
      <c r="U7" s="176">
        <v>12</v>
      </c>
      <c r="V7" s="200">
        <v>165.88</v>
      </c>
      <c r="W7" s="177">
        <f>V7/U7</f>
        <v>13.823333333333332</v>
      </c>
      <c r="X7" s="176">
        <v>63</v>
      </c>
      <c r="Y7" s="167">
        <v>334.95</v>
      </c>
      <c r="Z7" s="197">
        <f t="shared" ref="Z7:Z35" si="5">Y7/X7</f>
        <v>5.3166666666666664</v>
      </c>
      <c r="AA7" s="175"/>
      <c r="AB7" s="176"/>
      <c r="AC7" s="176"/>
      <c r="AD7" s="176"/>
      <c r="AE7" s="176"/>
      <c r="AF7" s="179"/>
      <c r="AG7" s="198">
        <v>107</v>
      </c>
      <c r="AH7" s="104">
        <v>1221.0999999999999</v>
      </c>
      <c r="AI7" s="172">
        <f>AH7/AG7</f>
        <v>11.412149532710279</v>
      </c>
      <c r="AJ7" s="199">
        <f t="shared" ref="AJ7:AJ35" si="6">I7+L7+O7+R7+V7+Y7+AH7</f>
        <v>39024.939999999988</v>
      </c>
    </row>
    <row r="8" spans="1:36" x14ac:dyDescent="0.25">
      <c r="A8" s="163">
        <v>45811</v>
      </c>
      <c r="B8" s="164">
        <v>200</v>
      </c>
      <c r="C8" s="165">
        <v>210</v>
      </c>
      <c r="D8" s="165">
        <v>207</v>
      </c>
      <c r="E8" s="176"/>
      <c r="F8" s="165">
        <v>378</v>
      </c>
      <c r="G8" s="176"/>
      <c r="H8" s="165">
        <f t="shared" si="0"/>
        <v>358</v>
      </c>
      <c r="I8" s="177">
        <v>20908.330000000002</v>
      </c>
      <c r="J8" s="166">
        <f t="shared" si="1"/>
        <v>58.403156424581013</v>
      </c>
      <c r="K8" s="175">
        <v>53</v>
      </c>
      <c r="L8" s="177">
        <v>2911.04</v>
      </c>
      <c r="M8" s="178">
        <f t="shared" si="2"/>
        <v>54.925283018867923</v>
      </c>
      <c r="N8" s="164">
        <v>25</v>
      </c>
      <c r="O8" s="177">
        <v>1770.1599999999999</v>
      </c>
      <c r="P8" s="178">
        <f t="shared" si="3"/>
        <v>70.806399999999996</v>
      </c>
      <c r="Q8" s="164">
        <v>75</v>
      </c>
      <c r="R8" s="177">
        <v>4417.6899999999996</v>
      </c>
      <c r="S8" s="178">
        <f t="shared" si="4"/>
        <v>58.902533333333331</v>
      </c>
      <c r="T8" s="175"/>
      <c r="U8" s="176">
        <v>12</v>
      </c>
      <c r="V8" s="177">
        <v>165.88</v>
      </c>
      <c r="W8" s="177">
        <f>V8/U8</f>
        <v>13.823333333333332</v>
      </c>
      <c r="X8" s="176">
        <v>53</v>
      </c>
      <c r="Y8" s="167">
        <v>263.89999999999998</v>
      </c>
      <c r="Z8" s="197">
        <f t="shared" si="5"/>
        <v>4.9792452830188676</v>
      </c>
      <c r="AA8" s="175"/>
      <c r="AB8" s="176"/>
      <c r="AC8" s="176"/>
      <c r="AD8" s="176"/>
      <c r="AE8" s="176"/>
      <c r="AF8" s="179"/>
      <c r="AG8" s="198">
        <v>107</v>
      </c>
      <c r="AH8" s="104">
        <v>1257.46</v>
      </c>
      <c r="AI8" s="172">
        <f>AH8/AG8</f>
        <v>11.75196261682243</v>
      </c>
      <c r="AJ8" s="199">
        <f>I8+L8+O8+R8+V8+Y8+AH8</f>
        <v>31694.460000000003</v>
      </c>
    </row>
    <row r="9" spans="1:36" x14ac:dyDescent="0.25">
      <c r="A9" s="163">
        <v>45812</v>
      </c>
      <c r="B9" s="164">
        <v>200</v>
      </c>
      <c r="C9" s="165">
        <v>210</v>
      </c>
      <c r="D9" s="176">
        <v>205</v>
      </c>
      <c r="E9" s="176"/>
      <c r="F9" s="165">
        <v>383</v>
      </c>
      <c r="G9" s="176"/>
      <c r="H9" s="165">
        <f t="shared" si="0"/>
        <v>359.20000000000005</v>
      </c>
      <c r="I9" s="177">
        <v>19505.799999999996</v>
      </c>
      <c r="J9" s="181">
        <f t="shared" si="1"/>
        <v>54.303452115812895</v>
      </c>
      <c r="K9" s="204">
        <v>49</v>
      </c>
      <c r="L9" s="205">
        <v>2104.1999999999998</v>
      </c>
      <c r="M9" s="178">
        <f t="shared" si="2"/>
        <v>42.942857142857136</v>
      </c>
      <c r="N9" s="164">
        <v>25</v>
      </c>
      <c r="O9" s="177">
        <v>1904.64</v>
      </c>
      <c r="P9" s="178">
        <f t="shared" si="3"/>
        <v>76.185600000000008</v>
      </c>
      <c r="Q9" s="164">
        <v>75</v>
      </c>
      <c r="R9" s="177">
        <v>4500</v>
      </c>
      <c r="S9" s="178">
        <f t="shared" si="4"/>
        <v>60</v>
      </c>
      <c r="T9" s="175"/>
      <c r="U9" s="176">
        <v>9</v>
      </c>
      <c r="V9" s="177">
        <v>106.7</v>
      </c>
      <c r="W9" s="177">
        <f t="shared" ref="W9:W35" si="7">V9/U9</f>
        <v>11.855555555555556</v>
      </c>
      <c r="X9" s="176">
        <v>148</v>
      </c>
      <c r="Y9" s="167">
        <v>418.1</v>
      </c>
      <c r="Z9" s="197">
        <f t="shared" si="5"/>
        <v>2.8250000000000002</v>
      </c>
      <c r="AA9" s="175"/>
      <c r="AB9" s="176"/>
      <c r="AC9" s="176"/>
      <c r="AD9" s="176"/>
      <c r="AE9" s="176"/>
      <c r="AF9" s="179"/>
      <c r="AG9" s="198">
        <v>107</v>
      </c>
      <c r="AH9" s="104">
        <v>1157.22</v>
      </c>
      <c r="AI9" s="172">
        <f>AH9/AG9</f>
        <v>10.815140186915889</v>
      </c>
      <c r="AJ9" s="199">
        <f t="shared" si="6"/>
        <v>29696.659999999996</v>
      </c>
    </row>
    <row r="10" spans="1:36" x14ac:dyDescent="0.25">
      <c r="A10" s="163">
        <v>45813</v>
      </c>
      <c r="B10" s="164">
        <v>200</v>
      </c>
      <c r="C10" s="165">
        <v>210</v>
      </c>
      <c r="D10" s="176">
        <v>205</v>
      </c>
      <c r="E10" s="176"/>
      <c r="F10" s="165">
        <v>368</v>
      </c>
      <c r="G10" s="176"/>
      <c r="H10" s="165">
        <f>B10*0.2+SUM(C10:F10)*0.4+G10*40%</f>
        <v>353.20000000000005</v>
      </c>
      <c r="I10" s="177">
        <v>19189.740000000002</v>
      </c>
      <c r="J10" s="181">
        <f t="shared" si="1"/>
        <v>54.331087202718003</v>
      </c>
      <c r="K10" s="175">
        <v>48</v>
      </c>
      <c r="L10" s="177">
        <v>2048.6800000000003</v>
      </c>
      <c r="M10" s="178">
        <f t="shared" si="2"/>
        <v>42.680833333333339</v>
      </c>
      <c r="N10" s="164">
        <v>25</v>
      </c>
      <c r="O10" s="177">
        <v>1676.92</v>
      </c>
      <c r="P10" s="178">
        <f t="shared" si="3"/>
        <v>67.076800000000006</v>
      </c>
      <c r="Q10" s="164">
        <v>75</v>
      </c>
      <c r="R10" s="177">
        <v>4571.3999999999996</v>
      </c>
      <c r="S10" s="178">
        <f t="shared" si="4"/>
        <v>60.951999999999998</v>
      </c>
      <c r="T10" s="175"/>
      <c r="U10" s="176">
        <v>2</v>
      </c>
      <c r="V10" s="177">
        <v>24.28</v>
      </c>
      <c r="W10" s="177">
        <f t="shared" si="7"/>
        <v>12.14</v>
      </c>
      <c r="X10" s="176">
        <v>16</v>
      </c>
      <c r="Y10" s="167">
        <v>6.57</v>
      </c>
      <c r="Z10" s="197">
        <f t="shared" si="5"/>
        <v>0.41062500000000002</v>
      </c>
      <c r="AA10" s="175"/>
      <c r="AB10" s="176"/>
      <c r="AC10" s="176"/>
      <c r="AD10" s="176"/>
      <c r="AE10" s="176"/>
      <c r="AF10" s="179"/>
      <c r="AG10" s="198">
        <v>107</v>
      </c>
      <c r="AH10" s="104">
        <v>1170.0600000000002</v>
      </c>
      <c r="AI10" s="172">
        <f t="shared" ref="AI10:AI35" si="8">AH10/AG10</f>
        <v>10.93514018691589</v>
      </c>
      <c r="AJ10" s="199">
        <f t="shared" si="6"/>
        <v>28687.650000000005</v>
      </c>
    </row>
    <row r="11" spans="1:36" x14ac:dyDescent="0.25">
      <c r="A11" s="163">
        <v>45814</v>
      </c>
      <c r="B11" s="175">
        <v>85</v>
      </c>
      <c r="C11" s="176">
        <v>95</v>
      </c>
      <c r="D11" s="176">
        <v>85</v>
      </c>
      <c r="E11" s="176"/>
      <c r="F11" s="165">
        <v>381</v>
      </c>
      <c r="G11" s="176">
        <v>70</v>
      </c>
      <c r="H11" s="165">
        <f>B11*0.2+SUM(C11:D11:G11)*0.4</f>
        <v>269.39999999999998</v>
      </c>
      <c r="I11" s="177">
        <v>16936.630000000005</v>
      </c>
      <c r="J11" s="181">
        <f t="shared" si="1"/>
        <v>62.867965850037145</v>
      </c>
      <c r="K11" s="175">
        <v>48</v>
      </c>
      <c r="L11" s="177">
        <v>2443.61</v>
      </c>
      <c r="M11" s="178">
        <f t="shared" si="2"/>
        <v>50.908541666666672</v>
      </c>
      <c r="N11" s="164">
        <v>25</v>
      </c>
      <c r="O11" s="206">
        <v>1327.1100000000001</v>
      </c>
      <c r="P11" s="178">
        <f t="shared" si="3"/>
        <v>53.084400000000002</v>
      </c>
      <c r="Q11" s="164">
        <v>75</v>
      </c>
      <c r="R11" s="207">
        <v>3140.86</v>
      </c>
      <c r="S11" s="178">
        <f t="shared" si="4"/>
        <v>41.878133333333338</v>
      </c>
      <c r="T11" s="175"/>
      <c r="U11" s="176">
        <v>2</v>
      </c>
      <c r="V11" s="177">
        <v>24.28</v>
      </c>
      <c r="W11" s="177">
        <f t="shared" si="7"/>
        <v>12.14</v>
      </c>
      <c r="X11" s="176">
        <v>17</v>
      </c>
      <c r="Y11" s="167">
        <v>13.14</v>
      </c>
      <c r="Z11" s="197">
        <f t="shared" si="5"/>
        <v>0.77294117647058824</v>
      </c>
      <c r="AA11" s="175"/>
      <c r="AB11" s="176"/>
      <c r="AC11" s="176"/>
      <c r="AD11" s="176"/>
      <c r="AE11" s="176"/>
      <c r="AF11" s="179"/>
      <c r="AG11" s="198">
        <v>107</v>
      </c>
      <c r="AH11" s="104">
        <v>1286.7800000000002</v>
      </c>
      <c r="AI11" s="172">
        <f t="shared" si="8"/>
        <v>12.025981308411216</v>
      </c>
      <c r="AJ11" s="199">
        <f t="shared" si="6"/>
        <v>25172.410000000003</v>
      </c>
    </row>
    <row r="12" spans="1:36" x14ac:dyDescent="0.25">
      <c r="A12" s="163">
        <v>45815</v>
      </c>
      <c r="B12" s="175">
        <v>85</v>
      </c>
      <c r="C12" s="176">
        <v>95</v>
      </c>
      <c r="D12" s="176">
        <v>85</v>
      </c>
      <c r="E12" s="176"/>
      <c r="F12" s="165">
        <v>368</v>
      </c>
      <c r="G12" s="176"/>
      <c r="H12" s="165">
        <f>B12*0.2+SUM(C12:F12)*0.4</f>
        <v>236.20000000000002</v>
      </c>
      <c r="I12" s="177">
        <v>17139.29</v>
      </c>
      <c r="J12" s="181">
        <f t="shared" si="1"/>
        <v>72.562616426756989</v>
      </c>
      <c r="K12" s="175">
        <v>46</v>
      </c>
      <c r="L12" s="177">
        <v>3271.33</v>
      </c>
      <c r="M12" s="178">
        <f t="shared" si="2"/>
        <v>71.115869565217395</v>
      </c>
      <c r="N12" s="164">
        <v>25</v>
      </c>
      <c r="O12" s="177">
        <v>1324.62</v>
      </c>
      <c r="P12" s="178">
        <f t="shared" si="3"/>
        <v>52.984799999999993</v>
      </c>
      <c r="Q12" s="164">
        <v>75</v>
      </c>
      <c r="R12" s="177">
        <v>3907.66</v>
      </c>
      <c r="S12" s="178">
        <f t="shared" si="4"/>
        <v>52.102133333333335</v>
      </c>
      <c r="T12" s="175"/>
      <c r="U12" s="176">
        <v>110</v>
      </c>
      <c r="V12" s="177">
        <v>1543.03</v>
      </c>
      <c r="W12" s="177">
        <f t="shared" si="7"/>
        <v>14.027545454545454</v>
      </c>
      <c r="X12" s="176">
        <v>17</v>
      </c>
      <c r="Y12" s="167">
        <v>13.14</v>
      </c>
      <c r="Z12" s="197">
        <f t="shared" si="5"/>
        <v>0.77294117647058824</v>
      </c>
      <c r="AA12" s="175"/>
      <c r="AB12" s="176"/>
      <c r="AC12" s="176"/>
      <c r="AD12" s="176"/>
      <c r="AE12" s="176"/>
      <c r="AF12" s="179"/>
      <c r="AG12" s="198">
        <v>107</v>
      </c>
      <c r="AH12" s="104">
        <v>1181.335</v>
      </c>
      <c r="AI12" s="172">
        <f t="shared" si="8"/>
        <v>11.040514018691589</v>
      </c>
      <c r="AJ12" s="199">
        <f t="shared" si="6"/>
        <v>28380.404999999999</v>
      </c>
    </row>
    <row r="13" spans="1:36" x14ac:dyDescent="0.25">
      <c r="A13" s="163">
        <v>45816</v>
      </c>
      <c r="B13" s="175">
        <v>200</v>
      </c>
      <c r="C13" s="176">
        <v>210</v>
      </c>
      <c r="D13" s="176">
        <v>205</v>
      </c>
      <c r="E13" s="176"/>
      <c r="F13" s="165">
        <v>368</v>
      </c>
      <c r="G13" s="176"/>
      <c r="H13" s="165">
        <f t="shared" si="0"/>
        <v>353.20000000000005</v>
      </c>
      <c r="I13" s="177">
        <v>27942.700000000004</v>
      </c>
      <c r="J13" s="181">
        <f t="shared" si="1"/>
        <v>79.112967157417899</v>
      </c>
      <c r="K13" s="175">
        <v>48</v>
      </c>
      <c r="L13" s="177">
        <v>2301.3999999999996</v>
      </c>
      <c r="M13" s="178">
        <f t="shared" si="2"/>
        <v>47.945833333333326</v>
      </c>
      <c r="N13" s="164">
        <v>25</v>
      </c>
      <c r="O13" s="177">
        <v>1737.72</v>
      </c>
      <c r="P13" s="178">
        <f t="shared" si="3"/>
        <v>69.508800000000008</v>
      </c>
      <c r="Q13" s="164">
        <v>75</v>
      </c>
      <c r="R13" s="177">
        <v>3788.05</v>
      </c>
      <c r="S13" s="178">
        <f t="shared" si="4"/>
        <v>50.507333333333335</v>
      </c>
      <c r="T13" s="175"/>
      <c r="U13" s="176">
        <v>139</v>
      </c>
      <c r="V13" s="177">
        <v>1892.0100000000002</v>
      </c>
      <c r="W13" s="177">
        <f t="shared" si="7"/>
        <v>13.611582733812952</v>
      </c>
      <c r="X13" s="176">
        <v>23</v>
      </c>
      <c r="Y13" s="167">
        <v>58.8</v>
      </c>
      <c r="Z13" s="197">
        <f t="shared" si="5"/>
        <v>2.5565217391304347</v>
      </c>
      <c r="AA13" s="175"/>
      <c r="AB13" s="176"/>
      <c r="AC13" s="176"/>
      <c r="AD13" s="176"/>
      <c r="AE13" s="176"/>
      <c r="AF13" s="179"/>
      <c r="AG13" s="198">
        <v>107</v>
      </c>
      <c r="AH13" s="104">
        <v>1258.99</v>
      </c>
      <c r="AI13" s="172">
        <f t="shared" si="8"/>
        <v>11.766261682242991</v>
      </c>
      <c r="AJ13" s="199">
        <f t="shared" si="6"/>
        <v>38979.670000000013</v>
      </c>
    </row>
    <row r="14" spans="1:36" x14ac:dyDescent="0.25">
      <c r="A14" s="163">
        <v>45817</v>
      </c>
      <c r="B14" s="175">
        <v>200</v>
      </c>
      <c r="C14" s="176">
        <v>210</v>
      </c>
      <c r="D14" s="176">
        <v>205</v>
      </c>
      <c r="E14" s="176"/>
      <c r="F14" s="165">
        <v>368</v>
      </c>
      <c r="G14" s="176"/>
      <c r="H14" s="165">
        <f t="shared" si="0"/>
        <v>353.20000000000005</v>
      </c>
      <c r="I14" s="177">
        <v>24733.739999999998</v>
      </c>
      <c r="J14" s="181">
        <f t="shared" si="1"/>
        <v>70.027576443941101</v>
      </c>
      <c r="K14" s="175">
        <v>45</v>
      </c>
      <c r="L14" s="177">
        <v>2129.9899999999998</v>
      </c>
      <c r="M14" s="178">
        <f t="shared" si="2"/>
        <v>47.333111111111108</v>
      </c>
      <c r="N14" s="164">
        <v>25</v>
      </c>
      <c r="O14" s="177">
        <v>1341.3400000000001</v>
      </c>
      <c r="P14" s="178">
        <f t="shared" si="3"/>
        <v>53.653600000000004</v>
      </c>
      <c r="Q14" s="164">
        <v>75</v>
      </c>
      <c r="R14" s="177">
        <v>3171.2</v>
      </c>
      <c r="S14" s="178">
        <f t="shared" si="4"/>
        <v>42.282666666666664</v>
      </c>
      <c r="T14" s="175"/>
      <c r="U14" s="176">
        <v>2</v>
      </c>
      <c r="V14" s="177">
        <v>29.4</v>
      </c>
      <c r="W14" s="177">
        <f t="shared" si="7"/>
        <v>14.7</v>
      </c>
      <c r="X14" s="176">
        <v>21</v>
      </c>
      <c r="Y14" s="177">
        <v>27.93</v>
      </c>
      <c r="Z14" s="197">
        <f t="shared" si="5"/>
        <v>1.33</v>
      </c>
      <c r="AA14" s="175"/>
      <c r="AB14" s="176"/>
      <c r="AC14" s="176"/>
      <c r="AD14" s="176"/>
      <c r="AE14" s="176"/>
      <c r="AF14" s="179"/>
      <c r="AG14" s="198">
        <v>107</v>
      </c>
      <c r="AH14" s="104">
        <v>1249.1999999999998</v>
      </c>
      <c r="AI14" s="172">
        <f t="shared" si="8"/>
        <v>11.674766355140186</v>
      </c>
      <c r="AJ14" s="199">
        <f t="shared" si="6"/>
        <v>32682.799999999999</v>
      </c>
    </row>
    <row r="15" spans="1:36" x14ac:dyDescent="0.25">
      <c r="A15" s="163">
        <v>45818</v>
      </c>
      <c r="B15" s="175">
        <v>200</v>
      </c>
      <c r="C15" s="176">
        <v>210</v>
      </c>
      <c r="D15" s="176">
        <v>205</v>
      </c>
      <c r="E15" s="176"/>
      <c r="F15" s="165">
        <v>368</v>
      </c>
      <c r="G15" s="176"/>
      <c r="H15" s="165">
        <f t="shared" si="0"/>
        <v>353.20000000000005</v>
      </c>
      <c r="I15" s="177">
        <v>16902.925000000003</v>
      </c>
      <c r="J15" s="181">
        <f t="shared" si="1"/>
        <v>47.856526047565119</v>
      </c>
      <c r="K15" s="175">
        <v>46</v>
      </c>
      <c r="L15" s="177">
        <v>2932.87</v>
      </c>
      <c r="M15" s="178">
        <f t="shared" si="2"/>
        <v>63.758043478260866</v>
      </c>
      <c r="N15" s="164">
        <v>25</v>
      </c>
      <c r="O15" s="177">
        <v>1493.93</v>
      </c>
      <c r="P15" s="178">
        <f t="shared" si="3"/>
        <v>59.757200000000005</v>
      </c>
      <c r="Q15" s="164">
        <v>75</v>
      </c>
      <c r="R15" s="177">
        <v>4807.1000000000004</v>
      </c>
      <c r="S15" s="178">
        <f t="shared" si="4"/>
        <v>64.094666666666669</v>
      </c>
      <c r="T15" s="175"/>
      <c r="U15" s="176">
        <v>4</v>
      </c>
      <c r="V15" s="177">
        <v>54.23</v>
      </c>
      <c r="W15" s="177">
        <f t="shared" si="7"/>
        <v>13.557499999999999</v>
      </c>
      <c r="X15" s="176">
        <v>18</v>
      </c>
      <c r="Y15" s="177">
        <v>124.95</v>
      </c>
      <c r="Z15" s="197">
        <f t="shared" si="5"/>
        <v>6.9416666666666664</v>
      </c>
      <c r="AA15" s="175"/>
      <c r="AB15" s="176"/>
      <c r="AC15" s="176"/>
      <c r="AD15" s="176"/>
      <c r="AE15" s="176"/>
      <c r="AF15" s="179"/>
      <c r="AG15" s="198">
        <v>107</v>
      </c>
      <c r="AH15" s="104">
        <v>1202.3999999999999</v>
      </c>
      <c r="AI15" s="172">
        <f t="shared" si="8"/>
        <v>11.237383177570091</v>
      </c>
      <c r="AJ15" s="199">
        <f t="shared" si="6"/>
        <v>27518.405000000006</v>
      </c>
    </row>
    <row r="16" spans="1:36" x14ac:dyDescent="0.25">
      <c r="A16" s="163">
        <v>45819</v>
      </c>
      <c r="B16" s="175">
        <v>200</v>
      </c>
      <c r="C16" s="176">
        <v>210</v>
      </c>
      <c r="D16" s="176">
        <v>205</v>
      </c>
      <c r="E16" s="176"/>
      <c r="F16" s="165">
        <v>368</v>
      </c>
      <c r="G16" s="176">
        <v>245</v>
      </c>
      <c r="H16" s="165">
        <f>B16*0.2+SUM(C16:G16)*0.4</f>
        <v>451.20000000000005</v>
      </c>
      <c r="I16" s="177">
        <v>27119.143999999993</v>
      </c>
      <c r="J16" s="181">
        <f t="shared" si="1"/>
        <v>60.104485815602814</v>
      </c>
      <c r="K16" s="175">
        <v>46</v>
      </c>
      <c r="L16" s="177">
        <v>1804.9599999999998</v>
      </c>
      <c r="M16" s="178">
        <f t="shared" si="2"/>
        <v>39.238260869565217</v>
      </c>
      <c r="N16" s="164">
        <v>25</v>
      </c>
      <c r="O16" s="177">
        <v>1538.22</v>
      </c>
      <c r="P16" s="178">
        <f t="shared" si="3"/>
        <v>61.528800000000004</v>
      </c>
      <c r="Q16" s="164">
        <v>75</v>
      </c>
      <c r="R16" s="177">
        <v>4040.05</v>
      </c>
      <c r="S16" s="178">
        <f t="shared" si="4"/>
        <v>53.867333333333335</v>
      </c>
      <c r="T16" s="175"/>
      <c r="U16" s="176">
        <v>34</v>
      </c>
      <c r="V16" s="177">
        <v>474.81</v>
      </c>
      <c r="W16" s="177">
        <f t="shared" si="7"/>
        <v>13.965</v>
      </c>
      <c r="X16" s="176">
        <v>157</v>
      </c>
      <c r="Y16" s="177">
        <v>1094.78</v>
      </c>
      <c r="Z16" s="197">
        <f t="shared" si="5"/>
        <v>6.9731210191082802</v>
      </c>
      <c r="AA16" s="175"/>
      <c r="AB16" s="176"/>
      <c r="AC16" s="176"/>
      <c r="AD16" s="176"/>
      <c r="AE16" s="176"/>
      <c r="AF16" s="179"/>
      <c r="AG16" s="198">
        <v>107</v>
      </c>
      <c r="AH16" s="104">
        <v>1256.56</v>
      </c>
      <c r="AI16" s="172">
        <f t="shared" si="8"/>
        <v>11.743551401869158</v>
      </c>
      <c r="AJ16" s="199">
        <f t="shared" si="6"/>
        <v>37328.52399999999</v>
      </c>
    </row>
    <row r="17" spans="1:36" x14ac:dyDescent="0.25">
      <c r="A17" s="163">
        <v>45820</v>
      </c>
      <c r="B17" s="175">
        <v>200</v>
      </c>
      <c r="C17" s="176">
        <v>210</v>
      </c>
      <c r="D17" s="176">
        <v>205</v>
      </c>
      <c r="E17" s="176"/>
      <c r="F17" s="165">
        <v>383</v>
      </c>
      <c r="G17" s="176"/>
      <c r="H17" s="165">
        <f t="shared" si="0"/>
        <v>359.20000000000005</v>
      </c>
      <c r="I17" s="177">
        <v>24071.910000000003</v>
      </c>
      <c r="J17" s="181">
        <f t="shared" si="1"/>
        <v>67.015339643652567</v>
      </c>
      <c r="K17" s="175">
        <v>48</v>
      </c>
      <c r="L17" s="177">
        <v>2671.82</v>
      </c>
      <c r="M17" s="178">
        <f t="shared" si="2"/>
        <v>55.662916666666668</v>
      </c>
      <c r="N17" s="164">
        <v>25</v>
      </c>
      <c r="O17" s="177">
        <v>1337.66</v>
      </c>
      <c r="P17" s="178">
        <f t="shared" si="3"/>
        <v>53.506400000000006</v>
      </c>
      <c r="Q17" s="164">
        <v>75</v>
      </c>
      <c r="R17" s="177">
        <v>3650.7260000000001</v>
      </c>
      <c r="S17" s="178">
        <f t="shared" si="4"/>
        <v>48.676346666666667</v>
      </c>
      <c r="T17" s="175"/>
      <c r="U17" s="176">
        <v>11</v>
      </c>
      <c r="V17" s="177">
        <v>150.47999999999999</v>
      </c>
      <c r="W17" s="177">
        <f t="shared" si="7"/>
        <v>13.68</v>
      </c>
      <c r="X17" s="176">
        <v>148</v>
      </c>
      <c r="Y17" s="177">
        <v>1039.0900000000001</v>
      </c>
      <c r="Z17" s="197">
        <f t="shared" si="5"/>
        <v>7.020878378378379</v>
      </c>
      <c r="AA17" s="175"/>
      <c r="AB17" s="176"/>
      <c r="AC17" s="176"/>
      <c r="AD17" s="176"/>
      <c r="AE17" s="176"/>
      <c r="AF17" s="179"/>
      <c r="AG17" s="198">
        <v>107</v>
      </c>
      <c r="AH17" s="104">
        <v>1198.3900000000001</v>
      </c>
      <c r="AI17" s="172">
        <f t="shared" si="8"/>
        <v>11.199906542056075</v>
      </c>
      <c r="AJ17" s="199">
        <f t="shared" si="6"/>
        <v>34120.076000000001</v>
      </c>
    </row>
    <row r="18" spans="1:36" x14ac:dyDescent="0.25">
      <c r="A18" s="163">
        <v>45821</v>
      </c>
      <c r="B18" s="175">
        <v>85</v>
      </c>
      <c r="C18" s="176">
        <v>95</v>
      </c>
      <c r="D18" s="176">
        <v>85</v>
      </c>
      <c r="E18" s="176"/>
      <c r="F18" s="165">
        <v>378</v>
      </c>
      <c r="G18" s="176"/>
      <c r="H18" s="165">
        <f t="shared" si="0"/>
        <v>240.20000000000002</v>
      </c>
      <c r="I18" s="177">
        <v>15911.338999999991</v>
      </c>
      <c r="J18" s="181">
        <f t="shared" si="1"/>
        <v>66.24204412989171</v>
      </c>
      <c r="K18" s="175">
        <v>47</v>
      </c>
      <c r="L18" s="177">
        <v>2321.1</v>
      </c>
      <c r="M18" s="178">
        <f t="shared" si="2"/>
        <v>49.385106382978719</v>
      </c>
      <c r="N18" s="164">
        <v>25</v>
      </c>
      <c r="O18" s="177">
        <v>1290.28</v>
      </c>
      <c r="P18" s="178">
        <f t="shared" si="3"/>
        <v>51.611199999999997</v>
      </c>
      <c r="Q18" s="164">
        <v>75</v>
      </c>
      <c r="R18" s="177">
        <v>4492.8</v>
      </c>
      <c r="S18" s="178">
        <f t="shared" si="4"/>
        <v>59.904000000000003</v>
      </c>
      <c r="T18" s="175"/>
      <c r="U18" s="176">
        <v>4</v>
      </c>
      <c r="V18" s="177">
        <v>56.429999999999993</v>
      </c>
      <c r="W18" s="177">
        <f t="shared" si="7"/>
        <v>14.107499999999998</v>
      </c>
      <c r="X18" s="176">
        <v>26</v>
      </c>
      <c r="Y18" s="177">
        <v>182.25</v>
      </c>
      <c r="Z18" s="197">
        <f t="shared" si="5"/>
        <v>7.009615384615385</v>
      </c>
      <c r="AA18" s="175"/>
      <c r="AB18" s="176"/>
      <c r="AC18" s="176"/>
      <c r="AD18" s="176"/>
      <c r="AE18" s="176"/>
      <c r="AF18" s="179"/>
      <c r="AG18" s="198">
        <v>107</v>
      </c>
      <c r="AH18" s="104">
        <v>1204.6300000000001</v>
      </c>
      <c r="AI18" s="172">
        <f t="shared" si="8"/>
        <v>11.258224299065422</v>
      </c>
      <c r="AJ18" s="199">
        <f t="shared" si="6"/>
        <v>25458.828999999991</v>
      </c>
    </row>
    <row r="19" spans="1:36" x14ac:dyDescent="0.25">
      <c r="A19" s="163">
        <v>45822</v>
      </c>
      <c r="B19" s="175">
        <v>85</v>
      </c>
      <c r="C19" s="176">
        <v>95</v>
      </c>
      <c r="D19" s="176">
        <v>85</v>
      </c>
      <c r="E19" s="176"/>
      <c r="F19" s="165">
        <v>378</v>
      </c>
      <c r="G19" s="176"/>
      <c r="H19" s="165">
        <f t="shared" si="0"/>
        <v>240.20000000000002</v>
      </c>
      <c r="I19" s="177">
        <v>18788.7</v>
      </c>
      <c r="J19" s="181">
        <f t="shared" si="1"/>
        <v>78.221065778517897</v>
      </c>
      <c r="K19" s="175">
        <v>47</v>
      </c>
      <c r="L19" s="177">
        <v>2256.5680000000002</v>
      </c>
      <c r="M19" s="178">
        <f t="shared" si="2"/>
        <v>48.012085106382983</v>
      </c>
      <c r="N19" s="164">
        <v>25</v>
      </c>
      <c r="O19" s="177">
        <v>1287.33</v>
      </c>
      <c r="P19" s="178">
        <f t="shared" si="3"/>
        <v>51.493199999999995</v>
      </c>
      <c r="Q19" s="164">
        <v>75</v>
      </c>
      <c r="R19" s="177">
        <v>3588.0000000000005</v>
      </c>
      <c r="S19" s="178">
        <f t="shared" si="4"/>
        <v>47.84</v>
      </c>
      <c r="T19" s="175"/>
      <c r="U19" s="176">
        <v>4</v>
      </c>
      <c r="V19" s="177">
        <v>52.78</v>
      </c>
      <c r="W19" s="177">
        <f t="shared" si="7"/>
        <v>13.195</v>
      </c>
      <c r="X19" s="176">
        <v>27</v>
      </c>
      <c r="Y19" s="177">
        <v>186.87</v>
      </c>
      <c r="Z19" s="197">
        <f t="shared" si="5"/>
        <v>6.9211111111111112</v>
      </c>
      <c r="AA19" s="175"/>
      <c r="AB19" s="176"/>
      <c r="AC19" s="176"/>
      <c r="AD19" s="176"/>
      <c r="AE19" s="176"/>
      <c r="AF19" s="179"/>
      <c r="AG19" s="198">
        <v>107</v>
      </c>
      <c r="AH19" s="104">
        <v>1206.5600000000004</v>
      </c>
      <c r="AI19" s="172">
        <f t="shared" si="8"/>
        <v>11.276261682242994</v>
      </c>
      <c r="AJ19" s="199">
        <f t="shared" si="6"/>
        <v>27366.807999999997</v>
      </c>
    </row>
    <row r="20" spans="1:36" x14ac:dyDescent="0.25">
      <c r="A20" s="163">
        <v>45823</v>
      </c>
      <c r="B20" s="175">
        <v>200</v>
      </c>
      <c r="C20" s="176">
        <v>210</v>
      </c>
      <c r="D20" s="176">
        <v>230</v>
      </c>
      <c r="E20" s="176"/>
      <c r="F20" s="165">
        <v>378</v>
      </c>
      <c r="G20" s="176">
        <v>300</v>
      </c>
      <c r="H20" s="165">
        <f t="shared" si="0"/>
        <v>367.20000000000005</v>
      </c>
      <c r="I20" s="177">
        <v>24948.879999999997</v>
      </c>
      <c r="J20" s="181">
        <f t="shared" si="1"/>
        <v>67.943572984749437</v>
      </c>
      <c r="K20" s="175">
        <v>47</v>
      </c>
      <c r="L20" s="177">
        <v>2818.4</v>
      </c>
      <c r="M20" s="178">
        <f t="shared" si="2"/>
        <v>59.96595744680851</v>
      </c>
      <c r="N20" s="164">
        <v>25</v>
      </c>
      <c r="O20" s="177">
        <v>1260.74</v>
      </c>
      <c r="P20" s="178">
        <f t="shared" si="3"/>
        <v>50.429600000000001</v>
      </c>
      <c r="Q20" s="164">
        <v>75</v>
      </c>
      <c r="R20" s="177">
        <v>3450.8</v>
      </c>
      <c r="S20" s="178">
        <f t="shared" si="4"/>
        <v>46.010666666666673</v>
      </c>
      <c r="T20" s="175"/>
      <c r="U20" s="176">
        <v>225</v>
      </c>
      <c r="V20" s="177">
        <v>3130.82</v>
      </c>
      <c r="W20" s="177">
        <f t="shared" si="7"/>
        <v>13.914755555555557</v>
      </c>
      <c r="X20" s="176">
        <v>26</v>
      </c>
      <c r="Y20" s="177">
        <v>182.28</v>
      </c>
      <c r="Z20" s="197">
        <f t="shared" si="5"/>
        <v>7.0107692307692311</v>
      </c>
      <c r="AA20" s="175"/>
      <c r="AB20" s="176"/>
      <c r="AC20" s="176"/>
      <c r="AD20" s="176"/>
      <c r="AE20" s="176"/>
      <c r="AF20" s="179"/>
      <c r="AG20" s="198">
        <v>107</v>
      </c>
      <c r="AH20" s="104">
        <v>1235.17</v>
      </c>
      <c r="AI20" s="172">
        <f t="shared" si="8"/>
        <v>11.543644859813085</v>
      </c>
      <c r="AJ20" s="199">
        <f t="shared" si="6"/>
        <v>37027.089999999997</v>
      </c>
    </row>
    <row r="21" spans="1:36" x14ac:dyDescent="0.25">
      <c r="A21" s="163">
        <v>45824</v>
      </c>
      <c r="B21" s="175">
        <v>200</v>
      </c>
      <c r="C21" s="176">
        <v>210</v>
      </c>
      <c r="D21" s="176">
        <v>205</v>
      </c>
      <c r="E21" s="176"/>
      <c r="F21" s="165">
        <v>381</v>
      </c>
      <c r="G21" s="176">
        <v>505</v>
      </c>
      <c r="H21" s="165">
        <f t="shared" si="0"/>
        <v>358.40000000000003</v>
      </c>
      <c r="I21" s="177">
        <v>28234.080000000005</v>
      </c>
      <c r="J21" s="181">
        <f t="shared" si="1"/>
        <v>78.778125000000003</v>
      </c>
      <c r="K21" s="175">
        <v>47</v>
      </c>
      <c r="L21" s="177">
        <v>2344.37</v>
      </c>
      <c r="M21" s="178">
        <f t="shared" si="2"/>
        <v>49.880212765957445</v>
      </c>
      <c r="N21" s="164">
        <v>25</v>
      </c>
      <c r="O21" s="177">
        <v>1391.03</v>
      </c>
      <c r="P21" s="178">
        <f t="shared" si="3"/>
        <v>55.641199999999998</v>
      </c>
      <c r="Q21" s="164">
        <v>75</v>
      </c>
      <c r="R21" s="177">
        <v>3157.9219999999996</v>
      </c>
      <c r="S21" s="178">
        <f t="shared" si="4"/>
        <v>42.105626666666659</v>
      </c>
      <c r="T21" s="175"/>
      <c r="U21" s="176">
        <v>4</v>
      </c>
      <c r="V21" s="177">
        <v>52.78</v>
      </c>
      <c r="W21" s="177">
        <f t="shared" si="7"/>
        <v>13.195</v>
      </c>
      <c r="X21" s="176">
        <v>13</v>
      </c>
      <c r="Y21" s="177">
        <v>90.48</v>
      </c>
      <c r="Z21" s="197">
        <f t="shared" si="5"/>
        <v>6.96</v>
      </c>
      <c r="AA21" s="175"/>
      <c r="AB21" s="176"/>
      <c r="AC21" s="176"/>
      <c r="AD21" s="176"/>
      <c r="AE21" s="176"/>
      <c r="AF21" s="179"/>
      <c r="AG21" s="198">
        <v>107</v>
      </c>
      <c r="AH21" s="104">
        <v>1247.8</v>
      </c>
      <c r="AI21" s="172">
        <f t="shared" si="8"/>
        <v>11.661682242990654</v>
      </c>
      <c r="AJ21" s="199">
        <f t="shared" si="6"/>
        <v>36518.462000000007</v>
      </c>
    </row>
    <row r="22" spans="1:36" x14ac:dyDescent="0.25">
      <c r="A22" s="163">
        <v>45825</v>
      </c>
      <c r="B22" s="175">
        <v>200</v>
      </c>
      <c r="C22" s="176">
        <v>210</v>
      </c>
      <c r="D22" s="176">
        <v>205</v>
      </c>
      <c r="E22" s="176"/>
      <c r="F22" s="165">
        <v>381</v>
      </c>
      <c r="G22" s="176"/>
      <c r="H22" s="165">
        <f t="shared" si="0"/>
        <v>358.40000000000003</v>
      </c>
      <c r="I22" s="177">
        <v>20815.710000000003</v>
      </c>
      <c r="J22" s="181">
        <f t="shared" si="1"/>
        <v>58.079547991071429</v>
      </c>
      <c r="K22" s="175">
        <v>47</v>
      </c>
      <c r="L22" s="177">
        <v>2469.62</v>
      </c>
      <c r="M22" s="178">
        <f t="shared" si="2"/>
        <v>52.545106382978723</v>
      </c>
      <c r="N22" s="164">
        <v>25</v>
      </c>
      <c r="O22" s="177">
        <v>1260.07</v>
      </c>
      <c r="P22" s="178">
        <f t="shared" si="3"/>
        <v>50.402799999999999</v>
      </c>
      <c r="Q22" s="164">
        <v>75</v>
      </c>
      <c r="R22" s="177">
        <v>4171.8999999999996</v>
      </c>
      <c r="S22" s="178">
        <f t="shared" si="4"/>
        <v>55.62533333333333</v>
      </c>
      <c r="T22" s="175"/>
      <c r="U22" s="176">
        <v>11</v>
      </c>
      <c r="V22" s="177">
        <v>154.35</v>
      </c>
      <c r="W22" s="177">
        <f t="shared" si="7"/>
        <v>14.031818181818181</v>
      </c>
      <c r="X22" s="176">
        <v>30</v>
      </c>
      <c r="Y22" s="177">
        <v>210.21</v>
      </c>
      <c r="Z22" s="197">
        <f t="shared" si="5"/>
        <v>7.0070000000000006</v>
      </c>
      <c r="AA22" s="175"/>
      <c r="AB22" s="176"/>
      <c r="AC22" s="176"/>
      <c r="AD22" s="176"/>
      <c r="AE22" s="176"/>
      <c r="AF22" s="179"/>
      <c r="AG22" s="198">
        <v>107</v>
      </c>
      <c r="AH22" s="104">
        <v>1246.8600000000001</v>
      </c>
      <c r="AI22" s="172">
        <f t="shared" si="8"/>
        <v>11.652897196261684</v>
      </c>
      <c r="AJ22" s="199">
        <f t="shared" si="6"/>
        <v>30328.720000000001</v>
      </c>
    </row>
    <row r="23" spans="1:36" x14ac:dyDescent="0.25">
      <c r="A23" s="163">
        <v>45826</v>
      </c>
      <c r="B23" s="175">
        <v>200</v>
      </c>
      <c r="C23" s="176">
        <v>210</v>
      </c>
      <c r="D23" s="176">
        <v>205</v>
      </c>
      <c r="E23" s="176"/>
      <c r="F23" s="165">
        <v>381</v>
      </c>
      <c r="G23" s="176"/>
      <c r="H23" s="165">
        <f t="shared" si="0"/>
        <v>358.40000000000003</v>
      </c>
      <c r="I23" s="177">
        <v>26759.26</v>
      </c>
      <c r="J23" s="181">
        <f t="shared" si="1"/>
        <v>74.6631138392857</v>
      </c>
      <c r="K23" s="175">
        <v>49</v>
      </c>
      <c r="L23" s="177">
        <v>2717.2</v>
      </c>
      <c r="M23" s="178">
        <f t="shared" si="2"/>
        <v>55.453061224489794</v>
      </c>
      <c r="N23" s="164">
        <v>25</v>
      </c>
      <c r="O23" s="177">
        <v>1357.98</v>
      </c>
      <c r="P23" s="178">
        <f t="shared" si="3"/>
        <v>54.319200000000002</v>
      </c>
      <c r="Q23" s="164">
        <v>75</v>
      </c>
      <c r="R23" s="177">
        <v>3821.8</v>
      </c>
      <c r="S23" s="178">
        <f t="shared" si="4"/>
        <v>50.957333333333338</v>
      </c>
      <c r="T23" s="175"/>
      <c r="U23" s="176">
        <v>11</v>
      </c>
      <c r="V23" s="177">
        <v>153.12</v>
      </c>
      <c r="W23" s="177">
        <f t="shared" si="7"/>
        <v>13.92</v>
      </c>
      <c r="X23" s="176">
        <v>147</v>
      </c>
      <c r="Y23" s="177">
        <v>1029</v>
      </c>
      <c r="Z23" s="197">
        <f t="shared" si="5"/>
        <v>7</v>
      </c>
      <c r="AA23" s="175"/>
      <c r="AB23" s="176"/>
      <c r="AC23" s="176"/>
      <c r="AD23" s="176"/>
      <c r="AE23" s="176"/>
      <c r="AF23" s="179"/>
      <c r="AG23" s="198">
        <v>107</v>
      </c>
      <c r="AH23" s="104">
        <v>1270.8</v>
      </c>
      <c r="AI23" s="172">
        <f t="shared" si="8"/>
        <v>11.876635514018691</v>
      </c>
      <c r="AJ23" s="199">
        <f t="shared" si="6"/>
        <v>37109.160000000003</v>
      </c>
    </row>
    <row r="24" spans="1:36" x14ac:dyDescent="0.25">
      <c r="A24" s="163">
        <v>45827</v>
      </c>
      <c r="B24" s="175">
        <v>200</v>
      </c>
      <c r="C24" s="176">
        <v>210</v>
      </c>
      <c r="D24" s="176">
        <v>205</v>
      </c>
      <c r="E24" s="176"/>
      <c r="F24" s="165">
        <v>381</v>
      </c>
      <c r="G24" s="176"/>
      <c r="H24" s="165">
        <f t="shared" si="0"/>
        <v>358.40000000000003</v>
      </c>
      <c r="I24" s="177">
        <v>25087.780000000002</v>
      </c>
      <c r="J24" s="181">
        <f t="shared" si="1"/>
        <v>69.99938616071428</v>
      </c>
      <c r="K24" s="175">
        <v>48</v>
      </c>
      <c r="L24" s="177">
        <v>2383.6000000000004</v>
      </c>
      <c r="M24" s="178">
        <f t="shared" si="2"/>
        <v>49.658333333333339</v>
      </c>
      <c r="N24" s="164">
        <v>25</v>
      </c>
      <c r="O24" s="177">
        <v>1320.78</v>
      </c>
      <c r="P24" s="178">
        <f t="shared" si="3"/>
        <v>52.831199999999995</v>
      </c>
      <c r="Q24" s="164">
        <v>75</v>
      </c>
      <c r="R24" s="177">
        <v>4453.7</v>
      </c>
      <c r="S24" s="178">
        <f t="shared" si="4"/>
        <v>59.382666666666665</v>
      </c>
      <c r="T24" s="175"/>
      <c r="U24" s="176">
        <v>11</v>
      </c>
      <c r="V24" s="177">
        <v>153.12</v>
      </c>
      <c r="W24" s="177">
        <f t="shared" si="7"/>
        <v>13.92</v>
      </c>
      <c r="X24" s="176">
        <v>136</v>
      </c>
      <c r="Y24" s="177">
        <v>938.16</v>
      </c>
      <c r="Z24" s="197">
        <f t="shared" si="5"/>
        <v>6.8982352941176472</v>
      </c>
      <c r="AA24" s="175"/>
      <c r="AB24" s="176"/>
      <c r="AC24" s="176"/>
      <c r="AD24" s="176"/>
      <c r="AE24" s="176"/>
      <c r="AF24" s="179"/>
      <c r="AG24" s="198">
        <v>107</v>
      </c>
      <c r="AH24" s="104">
        <v>1142.93</v>
      </c>
      <c r="AI24" s="172">
        <f t="shared" si="8"/>
        <v>10.681588785046729</v>
      </c>
      <c r="AJ24" s="199">
        <f t="shared" si="6"/>
        <v>35480.070000000007</v>
      </c>
    </row>
    <row r="25" spans="1:36" x14ac:dyDescent="0.25">
      <c r="A25" s="163">
        <v>45828</v>
      </c>
      <c r="B25" s="175">
        <v>85</v>
      </c>
      <c r="C25" s="176">
        <v>95</v>
      </c>
      <c r="D25" s="176">
        <v>85</v>
      </c>
      <c r="E25" s="176"/>
      <c r="F25" s="165">
        <v>381</v>
      </c>
      <c r="G25" s="176"/>
      <c r="H25" s="165">
        <f t="shared" si="0"/>
        <v>241.4</v>
      </c>
      <c r="I25" s="177">
        <v>21636.771000000001</v>
      </c>
      <c r="J25" s="181">
        <f t="shared" si="1"/>
        <v>89.630368682684349</v>
      </c>
      <c r="K25" s="175">
        <v>48</v>
      </c>
      <c r="L25" s="177">
        <v>2623.6</v>
      </c>
      <c r="M25" s="178">
        <f t="shared" si="2"/>
        <v>54.658333333333331</v>
      </c>
      <c r="N25" s="164">
        <v>25</v>
      </c>
      <c r="O25" s="177">
        <v>1258.5900000000001</v>
      </c>
      <c r="P25" s="178">
        <f t="shared" si="3"/>
        <v>50.343600000000009</v>
      </c>
      <c r="Q25" s="164">
        <v>75</v>
      </c>
      <c r="R25" s="177">
        <v>3531.9</v>
      </c>
      <c r="S25" s="178">
        <f t="shared" si="4"/>
        <v>47.091999999999999</v>
      </c>
      <c r="T25" s="175"/>
      <c r="U25" s="176">
        <v>4</v>
      </c>
      <c r="V25" s="177">
        <v>54.23</v>
      </c>
      <c r="W25" s="177">
        <f t="shared" si="7"/>
        <v>13.557499999999999</v>
      </c>
      <c r="X25" s="176">
        <v>39</v>
      </c>
      <c r="Y25" s="177">
        <v>271.14999999999998</v>
      </c>
      <c r="Z25" s="197">
        <f t="shared" si="5"/>
        <v>6.9525641025641018</v>
      </c>
      <c r="AA25" s="175"/>
      <c r="AB25" s="176"/>
      <c r="AC25" s="176"/>
      <c r="AD25" s="176"/>
      <c r="AE25" s="176"/>
      <c r="AF25" s="179"/>
      <c r="AG25" s="198">
        <v>107</v>
      </c>
      <c r="AH25" s="104">
        <v>1120.46</v>
      </c>
      <c r="AI25" s="172">
        <f t="shared" si="8"/>
        <v>10.471588785046729</v>
      </c>
      <c r="AJ25" s="199">
        <f t="shared" si="6"/>
        <v>30496.701000000001</v>
      </c>
    </row>
    <row r="26" spans="1:36" x14ac:dyDescent="0.25">
      <c r="A26" s="163">
        <v>45829</v>
      </c>
      <c r="B26" s="175">
        <v>85</v>
      </c>
      <c r="C26" s="176">
        <v>95</v>
      </c>
      <c r="D26" s="176">
        <v>90</v>
      </c>
      <c r="E26" s="176"/>
      <c r="F26" s="165">
        <v>381</v>
      </c>
      <c r="G26" s="176"/>
      <c r="H26" s="165">
        <f t="shared" si="0"/>
        <v>243.4</v>
      </c>
      <c r="I26" s="177">
        <v>21525.509999999995</v>
      </c>
      <c r="J26" s="181">
        <f t="shared" si="1"/>
        <v>88.436770747740326</v>
      </c>
      <c r="K26" s="175">
        <v>48</v>
      </c>
      <c r="L26" s="177">
        <v>2478.1000000000004</v>
      </c>
      <c r="M26" s="178">
        <f t="shared" si="2"/>
        <v>51.627083333333339</v>
      </c>
      <c r="N26" s="164">
        <v>25</v>
      </c>
      <c r="O26" s="177">
        <v>1243.78</v>
      </c>
      <c r="P26" s="178">
        <f t="shared" si="3"/>
        <v>49.751199999999997</v>
      </c>
      <c r="Q26" s="164">
        <v>75</v>
      </c>
      <c r="R26" s="177">
        <v>4088.6300000000006</v>
      </c>
      <c r="S26" s="178">
        <f t="shared" si="4"/>
        <v>54.515066666666677</v>
      </c>
      <c r="T26" s="175"/>
      <c r="U26" s="176">
        <v>4</v>
      </c>
      <c r="V26" s="177">
        <v>54.23</v>
      </c>
      <c r="W26" s="177">
        <f t="shared" si="7"/>
        <v>13.557499999999999</v>
      </c>
      <c r="X26" s="176">
        <v>53</v>
      </c>
      <c r="Y26" s="177">
        <v>367.5</v>
      </c>
      <c r="Z26" s="197">
        <f t="shared" si="5"/>
        <v>6.9339622641509431</v>
      </c>
      <c r="AA26" s="175"/>
      <c r="AB26" s="176"/>
      <c r="AC26" s="176"/>
      <c r="AD26" s="176"/>
      <c r="AE26" s="176"/>
      <c r="AF26" s="179"/>
      <c r="AG26" s="198">
        <v>107</v>
      </c>
      <c r="AH26" s="104">
        <v>1252.1099999999999</v>
      </c>
      <c r="AI26" s="172">
        <f t="shared" si="8"/>
        <v>11.70196261682243</v>
      </c>
      <c r="AJ26" s="199">
        <f t="shared" si="6"/>
        <v>31009.859999999993</v>
      </c>
    </row>
    <row r="27" spans="1:36" x14ac:dyDescent="0.25">
      <c r="A27" s="163">
        <v>45830</v>
      </c>
      <c r="B27" s="175">
        <v>200</v>
      </c>
      <c r="C27" s="176">
        <v>210</v>
      </c>
      <c r="D27" s="176">
        <v>233</v>
      </c>
      <c r="E27" s="176"/>
      <c r="F27" s="165">
        <v>381</v>
      </c>
      <c r="G27" s="176"/>
      <c r="H27" s="165">
        <f t="shared" si="0"/>
        <v>369.6</v>
      </c>
      <c r="I27" s="177">
        <v>33862.39</v>
      </c>
      <c r="J27" s="181">
        <f t="shared" si="1"/>
        <v>91.619020562770558</v>
      </c>
      <c r="K27" s="175">
        <v>47</v>
      </c>
      <c r="L27" s="177">
        <v>2273.6299999999997</v>
      </c>
      <c r="M27" s="178">
        <f t="shared" si="2"/>
        <v>48.375106382978714</v>
      </c>
      <c r="N27" s="164">
        <v>25</v>
      </c>
      <c r="O27" s="177">
        <v>1617.78</v>
      </c>
      <c r="P27" s="178">
        <f t="shared" si="3"/>
        <v>64.711200000000005</v>
      </c>
      <c r="Q27" s="164">
        <v>75</v>
      </c>
      <c r="R27" s="177">
        <v>4095.68</v>
      </c>
      <c r="S27" s="178">
        <f t="shared" si="4"/>
        <v>54.609066666666664</v>
      </c>
      <c r="T27" s="175"/>
      <c r="U27" s="176">
        <v>147</v>
      </c>
      <c r="V27" s="177">
        <v>2056.7600000000002</v>
      </c>
      <c r="W27" s="177">
        <f t="shared" si="7"/>
        <v>13.991564625850341</v>
      </c>
      <c r="X27" s="176">
        <v>156</v>
      </c>
      <c r="Y27" s="177">
        <v>1078.5</v>
      </c>
      <c r="Z27" s="197">
        <f t="shared" si="5"/>
        <v>6.9134615384615383</v>
      </c>
      <c r="AA27" s="175"/>
      <c r="AB27" s="176"/>
      <c r="AC27" s="176"/>
      <c r="AD27" s="176"/>
      <c r="AE27" s="176"/>
      <c r="AF27" s="179"/>
      <c r="AG27" s="198">
        <v>107</v>
      </c>
      <c r="AH27" s="104">
        <v>1283.3499999999999</v>
      </c>
      <c r="AI27" s="172">
        <f t="shared" si="8"/>
        <v>11.993925233644859</v>
      </c>
      <c r="AJ27" s="199">
        <f t="shared" si="6"/>
        <v>46268.09</v>
      </c>
    </row>
    <row r="28" spans="1:36" x14ac:dyDescent="0.25">
      <c r="A28" s="163">
        <v>45831</v>
      </c>
      <c r="B28" s="175">
        <v>200</v>
      </c>
      <c r="C28" s="176">
        <v>210</v>
      </c>
      <c r="D28" s="176">
        <v>224</v>
      </c>
      <c r="E28" s="176"/>
      <c r="F28" s="165">
        <v>381</v>
      </c>
      <c r="G28" s="176"/>
      <c r="H28" s="165">
        <f t="shared" si="0"/>
        <v>366</v>
      </c>
      <c r="I28" s="177">
        <v>29427.079999999998</v>
      </c>
      <c r="J28" s="181">
        <f t="shared" si="1"/>
        <v>80.401857923497261</v>
      </c>
      <c r="K28" s="175">
        <v>48</v>
      </c>
      <c r="L28" s="177">
        <v>2515.2600000000002</v>
      </c>
      <c r="M28" s="178">
        <f t="shared" si="2"/>
        <v>52.401250000000005</v>
      </c>
      <c r="N28" s="164">
        <v>25</v>
      </c>
      <c r="O28" s="177">
        <v>1437.19</v>
      </c>
      <c r="P28" s="178">
        <f t="shared" si="3"/>
        <v>57.4876</v>
      </c>
      <c r="Q28" s="164">
        <v>75</v>
      </c>
      <c r="R28" s="177">
        <v>4217.33</v>
      </c>
      <c r="S28" s="178">
        <f t="shared" si="4"/>
        <v>56.231066666666663</v>
      </c>
      <c r="T28" s="175"/>
      <c r="U28" s="176">
        <v>144</v>
      </c>
      <c r="V28" s="177">
        <v>2003.1000000000001</v>
      </c>
      <c r="W28" s="177">
        <f t="shared" si="7"/>
        <v>13.910416666666668</v>
      </c>
      <c r="X28" s="176">
        <v>32</v>
      </c>
      <c r="Y28" s="177">
        <v>223.56</v>
      </c>
      <c r="Z28" s="197">
        <f t="shared" si="5"/>
        <v>6.9862500000000001</v>
      </c>
      <c r="AA28" s="175"/>
      <c r="AB28" s="176"/>
      <c r="AC28" s="176"/>
      <c r="AD28" s="176"/>
      <c r="AE28" s="176"/>
      <c r="AF28" s="179"/>
      <c r="AG28" s="198">
        <v>107</v>
      </c>
      <c r="AH28" s="104">
        <v>1226.165</v>
      </c>
      <c r="AI28" s="172">
        <f t="shared" si="8"/>
        <v>11.459485981308411</v>
      </c>
      <c r="AJ28" s="199">
        <f t="shared" si="6"/>
        <v>41049.684999999998</v>
      </c>
    </row>
    <row r="29" spans="1:36" x14ac:dyDescent="0.25">
      <c r="A29" s="163">
        <v>45832</v>
      </c>
      <c r="B29" s="175">
        <v>200</v>
      </c>
      <c r="C29" s="176">
        <v>210</v>
      </c>
      <c r="D29" s="176">
        <v>218</v>
      </c>
      <c r="E29" s="176"/>
      <c r="F29" s="165">
        <v>381</v>
      </c>
      <c r="G29" s="176"/>
      <c r="H29" s="165">
        <f t="shared" si="0"/>
        <v>363.6</v>
      </c>
      <c r="I29" s="177">
        <v>27577.010000000002</v>
      </c>
      <c r="J29" s="181">
        <f t="shared" si="1"/>
        <v>75.844361936193621</v>
      </c>
      <c r="K29" s="175">
        <v>47</v>
      </c>
      <c r="L29" s="177">
        <v>2811.2999999999997</v>
      </c>
      <c r="M29" s="178">
        <f t="shared" si="2"/>
        <v>59.814893617021269</v>
      </c>
      <c r="N29" s="164">
        <v>25</v>
      </c>
      <c r="O29" s="177">
        <v>1891.84</v>
      </c>
      <c r="P29" s="178">
        <f t="shared" si="3"/>
        <v>75.673599999999993</v>
      </c>
      <c r="Q29" s="164">
        <v>75</v>
      </c>
      <c r="R29" s="177">
        <v>4182</v>
      </c>
      <c r="S29" s="178">
        <f t="shared" si="4"/>
        <v>55.76</v>
      </c>
      <c r="T29" s="175"/>
      <c r="U29" s="176">
        <v>144</v>
      </c>
      <c r="V29" s="177">
        <v>1955.35</v>
      </c>
      <c r="W29" s="177">
        <f t="shared" si="7"/>
        <v>13.578819444444443</v>
      </c>
      <c r="X29" s="176">
        <v>32</v>
      </c>
      <c r="Y29" s="177">
        <v>221.76</v>
      </c>
      <c r="Z29" s="197">
        <f t="shared" si="5"/>
        <v>6.93</v>
      </c>
      <c r="AA29" s="175"/>
      <c r="AB29" s="176"/>
      <c r="AC29" s="176"/>
      <c r="AD29" s="176"/>
      <c r="AE29" s="176"/>
      <c r="AF29" s="179"/>
      <c r="AG29" s="198">
        <v>107</v>
      </c>
      <c r="AH29" s="104">
        <v>1256.08</v>
      </c>
      <c r="AI29" s="172">
        <f t="shared" si="8"/>
        <v>11.739065420560747</v>
      </c>
      <c r="AJ29" s="199">
        <f t="shared" si="6"/>
        <v>39895.340000000004</v>
      </c>
    </row>
    <row r="30" spans="1:36" x14ac:dyDescent="0.25">
      <c r="A30" s="163">
        <v>45833</v>
      </c>
      <c r="B30" s="175">
        <v>200</v>
      </c>
      <c r="C30" s="176">
        <v>210</v>
      </c>
      <c r="D30" s="176">
        <v>225</v>
      </c>
      <c r="E30" s="176"/>
      <c r="F30" s="165">
        <v>381</v>
      </c>
      <c r="G30" s="176"/>
      <c r="H30" s="165">
        <f t="shared" si="0"/>
        <v>366.40000000000003</v>
      </c>
      <c r="I30" s="177">
        <v>24199.194999999996</v>
      </c>
      <c r="J30" s="181">
        <f t="shared" si="1"/>
        <v>66.045837882096052</v>
      </c>
      <c r="K30" s="175">
        <v>48</v>
      </c>
      <c r="L30" s="177">
        <v>2700</v>
      </c>
      <c r="M30" s="178">
        <f t="shared" si="2"/>
        <v>56.25</v>
      </c>
      <c r="N30" s="164">
        <v>25</v>
      </c>
      <c r="O30" s="177">
        <v>1221.45</v>
      </c>
      <c r="P30" s="178">
        <f t="shared" si="3"/>
        <v>48.858000000000004</v>
      </c>
      <c r="Q30" s="164">
        <v>75</v>
      </c>
      <c r="R30" s="177">
        <v>4229.75</v>
      </c>
      <c r="S30" s="178">
        <f t="shared" si="4"/>
        <v>56.396666666666668</v>
      </c>
      <c r="T30" s="175"/>
      <c r="U30" s="176">
        <v>144</v>
      </c>
      <c r="V30" s="177">
        <v>1952.75</v>
      </c>
      <c r="W30" s="177">
        <f t="shared" si="7"/>
        <v>13.560763888888889</v>
      </c>
      <c r="X30" s="176">
        <v>142</v>
      </c>
      <c r="Y30" s="177">
        <v>990.8</v>
      </c>
      <c r="Z30" s="197">
        <f t="shared" si="5"/>
        <v>6.9774647887323944</v>
      </c>
      <c r="AA30" s="175"/>
      <c r="AB30" s="176"/>
      <c r="AC30" s="176"/>
      <c r="AD30" s="176"/>
      <c r="AE30" s="176"/>
      <c r="AF30" s="179"/>
      <c r="AG30" s="198">
        <v>107</v>
      </c>
      <c r="AH30" s="104">
        <v>1189.57</v>
      </c>
      <c r="AI30" s="172">
        <f t="shared" si="8"/>
        <v>11.117476635514018</v>
      </c>
      <c r="AJ30" s="199">
        <f t="shared" si="6"/>
        <v>36483.514999999999</v>
      </c>
    </row>
    <row r="31" spans="1:36" x14ac:dyDescent="0.25">
      <c r="A31" s="163">
        <v>45834</v>
      </c>
      <c r="B31" s="175">
        <v>200</v>
      </c>
      <c r="C31" s="176">
        <v>210</v>
      </c>
      <c r="D31" s="176">
        <v>205</v>
      </c>
      <c r="E31" s="176"/>
      <c r="F31" s="165">
        <v>381</v>
      </c>
      <c r="G31" s="176"/>
      <c r="H31" s="165">
        <f t="shared" si="0"/>
        <v>358.40000000000003</v>
      </c>
      <c r="I31" s="177">
        <v>26664.335000000003</v>
      </c>
      <c r="J31" s="181">
        <f t="shared" si="1"/>
        <v>74.398256138392853</v>
      </c>
      <c r="K31" s="175">
        <v>48</v>
      </c>
      <c r="L31" s="177">
        <v>2646.4300000000003</v>
      </c>
      <c r="M31" s="178">
        <f t="shared" si="2"/>
        <v>55.133958333333339</v>
      </c>
      <c r="N31" s="164">
        <v>25</v>
      </c>
      <c r="O31" s="177">
        <v>1411.51</v>
      </c>
      <c r="P31" s="178">
        <f t="shared" si="3"/>
        <v>56.4604</v>
      </c>
      <c r="Q31" s="164">
        <v>75</v>
      </c>
      <c r="R31" s="177">
        <v>3898.3</v>
      </c>
      <c r="S31" s="178">
        <f t="shared" si="4"/>
        <v>51.977333333333334</v>
      </c>
      <c r="T31" s="175"/>
      <c r="U31" s="176">
        <v>16</v>
      </c>
      <c r="V31" s="176">
        <v>223.29999999999998</v>
      </c>
      <c r="W31" s="177">
        <f t="shared" si="7"/>
        <v>13.956249999999999</v>
      </c>
      <c r="X31" s="176">
        <v>133</v>
      </c>
      <c r="Y31" s="177">
        <v>928.9</v>
      </c>
      <c r="Z31" s="197">
        <f t="shared" si="5"/>
        <v>6.9842105263157892</v>
      </c>
      <c r="AA31" s="175"/>
      <c r="AB31" s="176"/>
      <c r="AC31" s="176"/>
      <c r="AD31" s="176"/>
      <c r="AE31" s="176"/>
      <c r="AF31" s="179"/>
      <c r="AG31" s="198">
        <v>107</v>
      </c>
      <c r="AH31" s="104">
        <v>1304.0999999999999</v>
      </c>
      <c r="AI31" s="172">
        <f t="shared" si="8"/>
        <v>12.187850467289719</v>
      </c>
      <c r="AJ31" s="199">
        <f t="shared" si="6"/>
        <v>37076.875000000007</v>
      </c>
    </row>
    <row r="32" spans="1:36" x14ac:dyDescent="0.25">
      <c r="A32" s="163">
        <v>45835</v>
      </c>
      <c r="B32" s="175">
        <v>85</v>
      </c>
      <c r="C32" s="176">
        <v>95</v>
      </c>
      <c r="D32" s="176">
        <v>86</v>
      </c>
      <c r="E32" s="176"/>
      <c r="F32" s="165">
        <v>381</v>
      </c>
      <c r="G32" s="176"/>
      <c r="H32" s="165">
        <f>B32*0.2+SUM(C32:F32)*0.4</f>
        <v>241.8</v>
      </c>
      <c r="I32" s="177">
        <v>19449.43</v>
      </c>
      <c r="J32" s="181">
        <f t="shared" si="1"/>
        <v>80.436021505376345</v>
      </c>
      <c r="K32" s="175">
        <v>47</v>
      </c>
      <c r="L32" s="177">
        <v>2745</v>
      </c>
      <c r="M32" s="178">
        <f t="shared" si="2"/>
        <v>58.404255319148938</v>
      </c>
      <c r="N32" s="164">
        <v>25</v>
      </c>
      <c r="O32" s="177">
        <v>1562.24</v>
      </c>
      <c r="P32" s="178">
        <f t="shared" si="3"/>
        <v>62.489600000000003</v>
      </c>
      <c r="Q32" s="164">
        <v>75</v>
      </c>
      <c r="R32" s="177">
        <v>4152.6499999999996</v>
      </c>
      <c r="S32" s="178">
        <f t="shared" si="4"/>
        <v>55.368666666666662</v>
      </c>
      <c r="T32" s="175"/>
      <c r="U32" s="176">
        <v>4</v>
      </c>
      <c r="V32" s="177">
        <v>60.32</v>
      </c>
      <c r="W32" s="177">
        <f t="shared" si="7"/>
        <v>15.08</v>
      </c>
      <c r="X32" s="176">
        <v>32</v>
      </c>
      <c r="Y32" s="177">
        <v>266.8</v>
      </c>
      <c r="Z32" s="197">
        <f t="shared" si="5"/>
        <v>8.3375000000000004</v>
      </c>
      <c r="AA32" s="175"/>
      <c r="AB32" s="176"/>
      <c r="AC32" s="176"/>
      <c r="AD32" s="176"/>
      <c r="AE32" s="176"/>
      <c r="AF32" s="179"/>
      <c r="AG32" s="198">
        <v>112</v>
      </c>
      <c r="AH32" s="104">
        <v>1212.7899999999997</v>
      </c>
      <c r="AI32" s="172">
        <f t="shared" si="8"/>
        <v>10.828482142857141</v>
      </c>
      <c r="AJ32" s="199">
        <f t="shared" si="6"/>
        <v>29449.23</v>
      </c>
    </row>
    <row r="33" spans="1:36" x14ac:dyDescent="0.25">
      <c r="A33" s="163">
        <v>45836</v>
      </c>
      <c r="B33" s="175">
        <v>85</v>
      </c>
      <c r="C33" s="176">
        <v>95</v>
      </c>
      <c r="D33" s="176">
        <v>86</v>
      </c>
      <c r="E33" s="176"/>
      <c r="F33" s="165">
        <v>373</v>
      </c>
      <c r="G33" s="185"/>
      <c r="H33" s="165">
        <f>B33*0.2+SUM(C33:F33)*0.4</f>
        <v>238.60000000000002</v>
      </c>
      <c r="I33" s="187">
        <v>24066.25</v>
      </c>
      <c r="J33" s="181">
        <f t="shared" si="1"/>
        <v>100.86441743503771</v>
      </c>
      <c r="K33" s="175">
        <v>47</v>
      </c>
      <c r="L33" s="187">
        <v>2575</v>
      </c>
      <c r="M33" s="178">
        <f t="shared" si="2"/>
        <v>54.787234042553195</v>
      </c>
      <c r="N33" s="164">
        <v>25</v>
      </c>
      <c r="O33" s="187">
        <v>1345.68</v>
      </c>
      <c r="P33" s="178">
        <f t="shared" si="3"/>
        <v>53.827200000000005</v>
      </c>
      <c r="Q33" s="164">
        <v>75</v>
      </c>
      <c r="R33" s="187">
        <v>4086.8400000000006</v>
      </c>
      <c r="S33" s="178">
        <f t="shared" si="4"/>
        <v>54.491200000000006</v>
      </c>
      <c r="T33" s="184"/>
      <c r="U33" s="185">
        <v>9</v>
      </c>
      <c r="V33" s="187">
        <v>127.6</v>
      </c>
      <c r="W33" s="177">
        <f t="shared" si="7"/>
        <v>14.177777777777777</v>
      </c>
      <c r="X33" s="185">
        <v>26</v>
      </c>
      <c r="Y33" s="187">
        <v>181.82999999999998</v>
      </c>
      <c r="Z33" s="197">
        <f t="shared" si="5"/>
        <v>6.9934615384615375</v>
      </c>
      <c r="AA33" s="184"/>
      <c r="AB33" s="185"/>
      <c r="AC33" s="185"/>
      <c r="AD33" s="185"/>
      <c r="AE33" s="185"/>
      <c r="AF33" s="188"/>
      <c r="AG33" s="198">
        <v>112</v>
      </c>
      <c r="AH33" s="190">
        <v>1256.5999999999999</v>
      </c>
      <c r="AI33" s="172">
        <f t="shared" si="8"/>
        <v>11.219642857142857</v>
      </c>
      <c r="AJ33" s="199">
        <f t="shared" si="6"/>
        <v>33639.800000000003</v>
      </c>
    </row>
    <row r="34" spans="1:36" x14ac:dyDescent="0.25">
      <c r="A34" s="163">
        <v>45837</v>
      </c>
      <c r="B34" s="175">
        <v>200</v>
      </c>
      <c r="C34" s="176">
        <v>210</v>
      </c>
      <c r="D34" s="185">
        <v>241</v>
      </c>
      <c r="E34" s="176"/>
      <c r="F34" s="165">
        <v>381</v>
      </c>
      <c r="G34" s="185"/>
      <c r="H34" s="165">
        <f>B34*0.2+SUM(C34:F34)*0.4</f>
        <v>372.8</v>
      </c>
      <c r="I34" s="187">
        <v>31271.390000000007</v>
      </c>
      <c r="J34" s="181">
        <f t="shared" si="1"/>
        <v>83.88248390557942</v>
      </c>
      <c r="K34" s="184">
        <v>52</v>
      </c>
      <c r="L34" s="187">
        <v>2701.8</v>
      </c>
      <c r="M34" s="178">
        <f t="shared" si="2"/>
        <v>51.957692307692312</v>
      </c>
      <c r="N34" s="164">
        <v>25</v>
      </c>
      <c r="O34" s="187">
        <v>1441.68</v>
      </c>
      <c r="P34" s="178">
        <f t="shared" si="3"/>
        <v>57.667200000000001</v>
      </c>
      <c r="Q34" s="164">
        <v>75</v>
      </c>
      <c r="R34" s="187">
        <v>4426.57</v>
      </c>
      <c r="S34" s="178">
        <f t="shared" si="4"/>
        <v>59.020933333333332</v>
      </c>
      <c r="T34" s="184"/>
      <c r="U34" s="185">
        <v>152</v>
      </c>
      <c r="V34" s="187">
        <v>2185.25</v>
      </c>
      <c r="W34" s="177">
        <f t="shared" si="7"/>
        <v>14.376644736842104</v>
      </c>
      <c r="X34" s="185">
        <v>142</v>
      </c>
      <c r="Y34" s="187">
        <v>1131.1999999999998</v>
      </c>
      <c r="Z34" s="197">
        <f t="shared" si="5"/>
        <v>7.9661971830985907</v>
      </c>
      <c r="AA34" s="184"/>
      <c r="AB34" s="185"/>
      <c r="AC34" s="185"/>
      <c r="AD34" s="185"/>
      <c r="AE34" s="185"/>
      <c r="AF34" s="188"/>
      <c r="AG34" s="201">
        <v>112</v>
      </c>
      <c r="AH34" s="190">
        <v>1384</v>
      </c>
      <c r="AI34" s="172">
        <f t="shared" si="8"/>
        <v>12.357142857142858</v>
      </c>
      <c r="AJ34" s="199">
        <f t="shared" si="6"/>
        <v>44541.890000000007</v>
      </c>
    </row>
    <row r="35" spans="1:36" ht="15.75" thickBot="1" x14ac:dyDescent="0.3">
      <c r="A35" s="163">
        <v>45838</v>
      </c>
      <c r="B35" s="175">
        <v>200</v>
      </c>
      <c r="C35" s="176">
        <v>210</v>
      </c>
      <c r="D35" s="185">
        <v>261</v>
      </c>
      <c r="E35" s="185"/>
      <c r="F35" s="165">
        <v>381</v>
      </c>
      <c r="G35" s="185"/>
      <c r="H35" s="165">
        <f>B35*0.2+SUM(C35:F35)*0.4</f>
        <v>380.8</v>
      </c>
      <c r="I35" s="187">
        <v>32329.305</v>
      </c>
      <c r="J35" s="181">
        <f t="shared" si="1"/>
        <v>84.898384978991601</v>
      </c>
      <c r="K35" s="184">
        <v>52</v>
      </c>
      <c r="L35" s="187">
        <v>2858.18</v>
      </c>
      <c r="M35" s="178">
        <f t="shared" si="2"/>
        <v>54.964999999999996</v>
      </c>
      <c r="N35" s="164">
        <v>25</v>
      </c>
      <c r="O35" s="187">
        <v>1541.1599999999999</v>
      </c>
      <c r="P35" s="178">
        <f t="shared" si="3"/>
        <v>61.646399999999993</v>
      </c>
      <c r="Q35" s="164">
        <v>75</v>
      </c>
      <c r="R35" s="187">
        <v>5947.4599999999991</v>
      </c>
      <c r="S35" s="178">
        <f t="shared" si="4"/>
        <v>79.29946666666666</v>
      </c>
      <c r="T35" s="184"/>
      <c r="U35" s="185">
        <v>98</v>
      </c>
      <c r="V35" s="187">
        <v>201.6</v>
      </c>
      <c r="W35" s="177">
        <f t="shared" si="7"/>
        <v>2.0571428571428569</v>
      </c>
      <c r="X35" s="185">
        <v>144</v>
      </c>
      <c r="Y35" s="187">
        <v>500.01</v>
      </c>
      <c r="Z35" s="197">
        <f t="shared" si="5"/>
        <v>3.4722916666666666</v>
      </c>
      <c r="AA35" s="184"/>
      <c r="AB35" s="185"/>
      <c r="AC35" s="185"/>
      <c r="AD35" s="185"/>
      <c r="AE35" s="185"/>
      <c r="AF35" s="188"/>
      <c r="AG35" s="201">
        <v>112</v>
      </c>
      <c r="AH35" s="190">
        <v>1392</v>
      </c>
      <c r="AI35" s="172">
        <f t="shared" si="8"/>
        <v>12.428571428571429</v>
      </c>
      <c r="AJ35" s="199">
        <f t="shared" si="6"/>
        <v>44769.715000000004</v>
      </c>
    </row>
    <row r="36" spans="1:36" ht="26.25" thickBot="1" x14ac:dyDescent="0.3">
      <c r="A36" s="202" t="s">
        <v>77</v>
      </c>
      <c r="B36" s="195">
        <f t="shared" ref="B36:I36" si="9">SUM(B6:B35)</f>
        <v>5080</v>
      </c>
      <c r="C36" s="195">
        <f t="shared" si="9"/>
        <v>5390</v>
      </c>
      <c r="D36" s="195">
        <f t="shared" si="9"/>
        <v>5418</v>
      </c>
      <c r="E36" s="195">
        <f t="shared" si="9"/>
        <v>0</v>
      </c>
      <c r="F36" s="195">
        <f t="shared" si="9"/>
        <v>11318</v>
      </c>
      <c r="G36" s="195">
        <f t="shared" si="9"/>
        <v>1120</v>
      </c>
      <c r="H36" s="195">
        <f t="shared" si="9"/>
        <v>9992.399999999996</v>
      </c>
      <c r="I36" s="195">
        <f t="shared" si="9"/>
        <v>723774.05400000012</v>
      </c>
      <c r="J36" s="195">
        <f>I36/H36</f>
        <v>72.432454065089516</v>
      </c>
      <c r="K36" s="195">
        <f>SUM(K6:K35)</f>
        <v>1441</v>
      </c>
      <c r="L36" s="195">
        <f>SUM(L6:L35)</f>
        <v>75356.998000000007</v>
      </c>
      <c r="M36" s="195">
        <f>L36/K36</f>
        <v>52.294932685634983</v>
      </c>
      <c r="N36" s="195">
        <f>SUM(N6:N35)</f>
        <v>750</v>
      </c>
      <c r="O36" s="195">
        <f>SUM(O6:O35)</f>
        <v>44325.729999999981</v>
      </c>
      <c r="P36" s="195">
        <f>O36/N36</f>
        <v>59.100973333333307</v>
      </c>
      <c r="Q36" s="195">
        <f>SUM(Q6:Q35)</f>
        <v>2250</v>
      </c>
      <c r="R36" s="195">
        <f>SUM(R6:R35)</f>
        <v>121068.76799999998</v>
      </c>
      <c r="S36" s="195">
        <f>R36/Q36</f>
        <v>53.808341333333324</v>
      </c>
      <c r="T36" s="195">
        <f>SUM(T6:T35)</f>
        <v>0</v>
      </c>
      <c r="U36" s="195">
        <f>SUM(U6:U35)</f>
        <v>1615</v>
      </c>
      <c r="V36" s="195">
        <f>SUM(V6:V35)</f>
        <v>21231.87</v>
      </c>
      <c r="W36" s="195"/>
      <c r="X36" s="195">
        <f t="shared" ref="X36:AH36" si="10">SUM(X6:X35)</f>
        <v>2089</v>
      </c>
      <c r="Y36" s="195">
        <f t="shared" si="10"/>
        <v>12775.359999999999</v>
      </c>
      <c r="Z36" s="195">
        <f t="shared" si="10"/>
        <v>169.69189617941984</v>
      </c>
      <c r="AA36" s="195">
        <f t="shared" si="10"/>
        <v>0</v>
      </c>
      <c r="AB36" s="195">
        <f t="shared" si="10"/>
        <v>0</v>
      </c>
      <c r="AC36" s="195">
        <f t="shared" si="10"/>
        <v>0</v>
      </c>
      <c r="AD36" s="195">
        <f t="shared" si="10"/>
        <v>0</v>
      </c>
      <c r="AE36" s="195">
        <f t="shared" si="10"/>
        <v>0</v>
      </c>
      <c r="AF36" s="195" t="e">
        <f t="shared" si="10"/>
        <v>#DIV/0!</v>
      </c>
      <c r="AG36" s="195">
        <f t="shared" si="10"/>
        <v>3230</v>
      </c>
      <c r="AH36" s="195">
        <f t="shared" si="10"/>
        <v>37053.67</v>
      </c>
      <c r="AI36" s="195">
        <f>AH36/AG36</f>
        <v>11.471724458204333</v>
      </c>
      <c r="AJ36" s="203">
        <f>SUM(AJ6:AJ35)</f>
        <v>1035586.45</v>
      </c>
    </row>
  </sheetData>
  <sheetProtection algorithmName="SHA-512" hashValue="/jFt4rqWSzLkFkGMgeInWfnN2RWfqKJ+1+w1Yy7jgpAl0WW5tdUhSRLC8wJa/NdhTXAAEvT6FHYOMiuGM3ogpw==" saltValue="mDSPxNWS9mjNEphUyUMqEg==" spinCount="100000" sheet="1" scenarios="1" sort="0" autoFilter="0"/>
  <mergeCells count="10">
    <mergeCell ref="A1:AJ1"/>
    <mergeCell ref="A2:AJ2"/>
    <mergeCell ref="A3:AJ3"/>
    <mergeCell ref="B4:J4"/>
    <mergeCell ref="K4:M4"/>
    <mergeCell ref="N4:P4"/>
    <mergeCell ref="Q4:S4"/>
    <mergeCell ref="T4:Z4"/>
    <mergeCell ref="AA4:AF4"/>
    <mergeCell ref="AG4:AI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87FE-9B09-48C2-8D18-B8E587A8F5B6}">
  <dimension ref="A1:AJ37"/>
  <sheetViews>
    <sheetView zoomScale="80" zoomScaleNormal="80" workbookViewId="0">
      <selection activeCell="J39" sqref="J39"/>
    </sheetView>
  </sheetViews>
  <sheetFormatPr defaultRowHeight="15" x14ac:dyDescent="0.25"/>
  <cols>
    <col min="2" max="4" width="10.140625" bestFit="1" customWidth="1"/>
    <col min="6" max="6" width="11.28515625" bestFit="1" customWidth="1"/>
    <col min="8" max="8" width="11.28515625" bestFit="1" customWidth="1"/>
    <col min="9" max="9" width="12.28515625" bestFit="1" customWidth="1"/>
    <col min="11" max="11" width="10.140625" bestFit="1" customWidth="1"/>
    <col min="12" max="12" width="11.28515625" bestFit="1" customWidth="1"/>
    <col min="15" max="15" width="11.28515625" bestFit="1" customWidth="1"/>
    <col min="16" max="16" width="13" bestFit="1" customWidth="1"/>
    <col min="17" max="17" width="10.140625" bestFit="1" customWidth="1"/>
    <col min="18" max="18" width="12.28515625" bestFit="1" customWidth="1"/>
    <col min="21" max="21" width="10.140625" bestFit="1" customWidth="1"/>
    <col min="22" max="22" width="11.28515625" bestFit="1" customWidth="1"/>
    <col min="24" max="24" width="10.140625" bestFit="1" customWidth="1"/>
    <col min="25" max="25" width="11.28515625" bestFit="1" customWidth="1"/>
    <col min="33" max="33" width="14.85546875" bestFit="1" customWidth="1"/>
    <col min="34" max="34" width="11.28515625" bestFit="1" customWidth="1"/>
    <col min="36" max="36" width="13.85546875" bestFit="1" customWidth="1"/>
  </cols>
  <sheetData>
    <row r="1" spans="1:36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36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36" ht="21.75" thickBot="1" x14ac:dyDescent="0.4">
      <c r="A3" s="308" t="s">
        <v>83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36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63</v>
      </c>
      <c r="O4" s="315"/>
      <c r="P4" s="318"/>
      <c r="Q4" s="314" t="s">
        <v>64</v>
      </c>
      <c r="R4" s="315"/>
      <c r="S4" s="318"/>
      <c r="T4" s="314" t="s">
        <v>65</v>
      </c>
      <c r="U4" s="315"/>
      <c r="V4" s="315"/>
      <c r="W4" s="315"/>
      <c r="X4" s="315"/>
      <c r="Y4" s="315"/>
      <c r="Z4" s="318"/>
      <c r="AA4" s="378" t="s">
        <v>66</v>
      </c>
      <c r="AB4" s="379"/>
      <c r="AC4" s="379"/>
      <c r="AD4" s="379"/>
      <c r="AE4" s="379"/>
      <c r="AF4" s="380"/>
      <c r="AG4" s="320" t="s">
        <v>67</v>
      </c>
      <c r="AH4" s="321"/>
      <c r="AI4" s="322"/>
      <c r="AJ4" s="144" t="s">
        <v>68</v>
      </c>
    </row>
    <row r="5" spans="1:36" ht="39.75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48" t="s">
        <v>69</v>
      </c>
      <c r="O5" s="149" t="s">
        <v>0</v>
      </c>
      <c r="P5" s="150" t="s">
        <v>70</v>
      </c>
      <c r="Q5" s="148" t="s">
        <v>69</v>
      </c>
      <c r="R5" s="149" t="s">
        <v>0</v>
      </c>
      <c r="S5" s="150" t="s">
        <v>70</v>
      </c>
      <c r="T5" s="151" t="s">
        <v>71</v>
      </c>
      <c r="U5" s="152" t="s">
        <v>72</v>
      </c>
      <c r="V5" s="152" t="s">
        <v>73</v>
      </c>
      <c r="W5" s="152" t="s">
        <v>79</v>
      </c>
      <c r="X5" s="153" t="s">
        <v>21</v>
      </c>
      <c r="Y5" s="153" t="s">
        <v>74</v>
      </c>
      <c r="Z5" s="154" t="s">
        <v>16</v>
      </c>
      <c r="AA5" s="155" t="s">
        <v>2</v>
      </c>
      <c r="AB5" s="156" t="s">
        <v>3</v>
      </c>
      <c r="AC5" s="156" t="s">
        <v>4</v>
      </c>
      <c r="AD5" s="157" t="s">
        <v>69</v>
      </c>
      <c r="AE5" s="158" t="s">
        <v>0</v>
      </c>
      <c r="AF5" s="159" t="s">
        <v>70</v>
      </c>
      <c r="AG5" s="160" t="s">
        <v>75</v>
      </c>
      <c r="AH5" s="161" t="s">
        <v>30</v>
      </c>
      <c r="AI5" s="162" t="s">
        <v>76</v>
      </c>
      <c r="AJ5" s="144" t="s">
        <v>68</v>
      </c>
    </row>
    <row r="6" spans="1:36" x14ac:dyDescent="0.25">
      <c r="A6" s="163">
        <v>45839</v>
      </c>
      <c r="B6" s="164">
        <v>200</v>
      </c>
      <c r="C6" s="165">
        <v>210</v>
      </c>
      <c r="D6" s="165">
        <v>242</v>
      </c>
      <c r="E6" s="165"/>
      <c r="F6" s="165">
        <v>381</v>
      </c>
      <c r="G6" s="165"/>
      <c r="H6" s="165">
        <f>B6*0.2+SUM(C6:F6)*0.4</f>
        <v>373.20000000000005</v>
      </c>
      <c r="I6" s="167">
        <v>32994.914999999994</v>
      </c>
      <c r="J6" s="166">
        <f>I6/H6</f>
        <v>88.410811897106086</v>
      </c>
      <c r="K6" s="164">
        <v>52</v>
      </c>
      <c r="L6" s="177">
        <v>3399.65</v>
      </c>
      <c r="M6" s="168">
        <f>L6/K6</f>
        <v>65.377884615384616</v>
      </c>
      <c r="N6" s="164">
        <v>25</v>
      </c>
      <c r="O6" s="167">
        <v>1671.8000000000002</v>
      </c>
      <c r="P6" s="168">
        <f>O6/N6</f>
        <v>66.872000000000014</v>
      </c>
      <c r="Q6" s="164">
        <v>75</v>
      </c>
      <c r="R6" s="167">
        <v>5580.119999999999</v>
      </c>
      <c r="S6" s="168">
        <f>R6/Q6</f>
        <v>74.401599999999988</v>
      </c>
      <c r="T6" s="164"/>
      <c r="U6" s="165">
        <v>35</v>
      </c>
      <c r="V6" s="165">
        <v>489.51</v>
      </c>
      <c r="W6" s="177">
        <f>V6/U6</f>
        <v>13.985999999999999</v>
      </c>
      <c r="X6" s="165">
        <v>130</v>
      </c>
      <c r="Y6" s="167">
        <v>905.64</v>
      </c>
      <c r="Z6" s="197">
        <f>Y6/X6</f>
        <v>6.9664615384615383</v>
      </c>
      <c r="AA6" s="164"/>
      <c r="AB6" s="165"/>
      <c r="AC6" s="165"/>
      <c r="AD6" s="165"/>
      <c r="AE6" s="165"/>
      <c r="AF6" s="169" t="e">
        <f>AE6/AD6</f>
        <v>#DIV/0!</v>
      </c>
      <c r="AG6" s="198">
        <v>103</v>
      </c>
      <c r="AH6" s="171">
        <v>1252.4299999999998</v>
      </c>
      <c r="AI6" s="172">
        <f>AH6/AG6</f>
        <v>12.159514563106795</v>
      </c>
      <c r="AJ6" s="199">
        <f>I6+L6+O6+R6+V6+Y6+AH6</f>
        <v>46294.065000000002</v>
      </c>
    </row>
    <row r="7" spans="1:36" x14ac:dyDescent="0.25">
      <c r="A7" s="163">
        <v>45840</v>
      </c>
      <c r="B7" s="164">
        <v>200</v>
      </c>
      <c r="C7" s="165">
        <v>210</v>
      </c>
      <c r="D7" s="165">
        <v>205</v>
      </c>
      <c r="E7" s="176"/>
      <c r="F7" s="165">
        <v>381</v>
      </c>
      <c r="G7" s="176"/>
      <c r="H7" s="165">
        <f t="shared" ref="H7:H31" si="0">B7*0.2+SUM(C7:F7)*0.4</f>
        <v>358.40000000000003</v>
      </c>
      <c r="I7" s="177">
        <v>35098.528399999981</v>
      </c>
      <c r="J7" s="166">
        <f t="shared" ref="J7:J36" si="1">I7/H7</f>
        <v>97.931161830357084</v>
      </c>
      <c r="K7" s="175">
        <v>47</v>
      </c>
      <c r="L7" s="177">
        <v>2444.6</v>
      </c>
      <c r="M7" s="178">
        <f t="shared" ref="M7:M36" si="2">L7/K7</f>
        <v>52.01276595744681</v>
      </c>
      <c r="N7" s="164">
        <v>25</v>
      </c>
      <c r="O7" s="177">
        <v>1739.55</v>
      </c>
      <c r="P7" s="178">
        <f t="shared" ref="P7:P36" si="3">O7/N7</f>
        <v>69.581999999999994</v>
      </c>
      <c r="Q7" s="164">
        <v>75</v>
      </c>
      <c r="R7" s="177">
        <v>4011.7</v>
      </c>
      <c r="S7" s="178">
        <f t="shared" ref="S7:S36" si="4">R7/Q7</f>
        <v>53.489333333333327</v>
      </c>
      <c r="T7" s="175"/>
      <c r="U7" s="165">
        <v>35</v>
      </c>
      <c r="V7" s="200">
        <v>489.51</v>
      </c>
      <c r="W7" s="177">
        <f>V7/U7</f>
        <v>13.985999999999999</v>
      </c>
      <c r="X7" s="176">
        <v>129</v>
      </c>
      <c r="Y7" s="167">
        <v>899.1</v>
      </c>
      <c r="Z7" s="197">
        <f t="shared" ref="Z7:Z36" si="5">Y7/X7</f>
        <v>6.9697674418604656</v>
      </c>
      <c r="AA7" s="175"/>
      <c r="AB7" s="176"/>
      <c r="AC7" s="176"/>
      <c r="AD7" s="176"/>
      <c r="AE7" s="176"/>
      <c r="AF7" s="179"/>
      <c r="AG7" s="198">
        <v>103</v>
      </c>
      <c r="AH7" s="104">
        <v>1219.2</v>
      </c>
      <c r="AI7" s="172">
        <f>AH7/AG7</f>
        <v>11.836893203883495</v>
      </c>
      <c r="AJ7" s="199">
        <f t="shared" ref="AJ7:AJ36" si="6">I7+L7+O7+R7+V7+Y7+AH7</f>
        <v>45902.188399999977</v>
      </c>
    </row>
    <row r="8" spans="1:36" x14ac:dyDescent="0.25">
      <c r="A8" s="163">
        <v>45841</v>
      </c>
      <c r="B8" s="164">
        <v>200</v>
      </c>
      <c r="C8" s="165">
        <v>210</v>
      </c>
      <c r="D8" s="165">
        <v>205</v>
      </c>
      <c r="E8" s="176"/>
      <c r="F8" s="165">
        <v>381</v>
      </c>
      <c r="G8" s="176"/>
      <c r="H8" s="165">
        <f t="shared" si="0"/>
        <v>358.40000000000003</v>
      </c>
      <c r="I8" s="177">
        <v>35198.654999999999</v>
      </c>
      <c r="J8" s="166">
        <f t="shared" si="1"/>
        <v>98.210532924107127</v>
      </c>
      <c r="K8" s="175">
        <v>44</v>
      </c>
      <c r="L8" s="177">
        <v>3054.0099999999998</v>
      </c>
      <c r="M8" s="178">
        <f t="shared" si="2"/>
        <v>69.409318181818179</v>
      </c>
      <c r="N8" s="164">
        <v>25</v>
      </c>
      <c r="O8" s="177">
        <v>1601.52</v>
      </c>
      <c r="P8" s="178">
        <f t="shared" si="3"/>
        <v>64.0608</v>
      </c>
      <c r="Q8" s="164">
        <v>75</v>
      </c>
      <c r="R8" s="177">
        <v>3501.54</v>
      </c>
      <c r="S8" s="178">
        <f t="shared" si="4"/>
        <v>46.687199999999997</v>
      </c>
      <c r="T8" s="175"/>
      <c r="U8" s="165">
        <v>35</v>
      </c>
      <c r="V8" s="177">
        <v>489.51</v>
      </c>
      <c r="W8" s="177">
        <f>V8/U8</f>
        <v>13.985999999999999</v>
      </c>
      <c r="X8" s="176">
        <v>125</v>
      </c>
      <c r="Y8" s="167">
        <v>871.91000000000008</v>
      </c>
      <c r="Z8" s="197">
        <f t="shared" si="5"/>
        <v>6.9752800000000006</v>
      </c>
      <c r="AA8" s="175"/>
      <c r="AB8" s="176"/>
      <c r="AC8" s="176"/>
      <c r="AD8" s="176"/>
      <c r="AE8" s="176"/>
      <c r="AF8" s="179"/>
      <c r="AG8" s="198">
        <v>103</v>
      </c>
      <c r="AH8" s="104">
        <v>1234.44</v>
      </c>
      <c r="AI8" s="172">
        <f>AH8/AG8</f>
        <v>11.984854368932039</v>
      </c>
      <c r="AJ8" s="199">
        <f>I8+L8+O8+R8+V8+Y8+AH8</f>
        <v>45951.585000000006</v>
      </c>
    </row>
    <row r="9" spans="1:36" x14ac:dyDescent="0.25">
      <c r="A9" s="163">
        <v>45842</v>
      </c>
      <c r="B9" s="164">
        <v>85</v>
      </c>
      <c r="C9" s="165">
        <v>95</v>
      </c>
      <c r="D9" s="176">
        <v>103</v>
      </c>
      <c r="E9" s="176"/>
      <c r="F9" s="165">
        <v>400</v>
      </c>
      <c r="G9" s="176"/>
      <c r="H9" s="165">
        <f t="shared" si="0"/>
        <v>256.20000000000005</v>
      </c>
      <c r="I9" s="177">
        <v>18070.580000000002</v>
      </c>
      <c r="J9" s="181">
        <f t="shared" si="1"/>
        <v>70.533099141295864</v>
      </c>
      <c r="K9" s="204">
        <v>44</v>
      </c>
      <c r="L9" s="205">
        <v>2858.6</v>
      </c>
      <c r="M9" s="178">
        <f t="shared" si="2"/>
        <v>64.968181818181819</v>
      </c>
      <c r="N9" s="164">
        <v>25</v>
      </c>
      <c r="O9" s="177">
        <v>1564.1999999999998</v>
      </c>
      <c r="P9" s="178">
        <f t="shared" si="3"/>
        <v>62.567999999999991</v>
      </c>
      <c r="Q9" s="164">
        <v>75</v>
      </c>
      <c r="R9" s="177">
        <v>3450.61</v>
      </c>
      <c r="S9" s="178">
        <f t="shared" si="4"/>
        <v>46.008133333333333</v>
      </c>
      <c r="T9" s="175"/>
      <c r="U9" s="176">
        <v>28</v>
      </c>
      <c r="V9" s="177">
        <v>389.55</v>
      </c>
      <c r="W9" s="177">
        <f t="shared" ref="W9:W36" si="7">V9/U9</f>
        <v>13.9125</v>
      </c>
      <c r="X9" s="176">
        <v>13</v>
      </c>
      <c r="Y9" s="167">
        <v>89.86999999999999</v>
      </c>
      <c r="Z9" s="197">
        <f t="shared" si="5"/>
        <v>6.9130769230769227</v>
      </c>
      <c r="AA9" s="175"/>
      <c r="AB9" s="176"/>
      <c r="AC9" s="176"/>
      <c r="AD9" s="176"/>
      <c r="AE9" s="176"/>
      <c r="AF9" s="179"/>
      <c r="AG9" s="198">
        <v>103</v>
      </c>
      <c r="AH9" s="104">
        <v>1278.94</v>
      </c>
      <c r="AI9" s="172">
        <f>AH9/AG9</f>
        <v>12.416893203883495</v>
      </c>
      <c r="AJ9" s="199">
        <f t="shared" si="6"/>
        <v>27702.35</v>
      </c>
    </row>
    <row r="10" spans="1:36" x14ac:dyDescent="0.25">
      <c r="A10" s="163">
        <v>45843</v>
      </c>
      <c r="B10" s="164">
        <v>85</v>
      </c>
      <c r="C10" s="165">
        <v>95</v>
      </c>
      <c r="D10" s="176">
        <v>93</v>
      </c>
      <c r="E10" s="176"/>
      <c r="F10" s="165">
        <v>400</v>
      </c>
      <c r="G10" s="176"/>
      <c r="H10" s="165">
        <f>B10*0.2+SUM(C10:F10)*0.4+G10*40%</f>
        <v>252.20000000000002</v>
      </c>
      <c r="I10" s="177">
        <v>16033.119999999997</v>
      </c>
      <c r="J10" s="181">
        <f t="shared" si="1"/>
        <v>63.573037272006331</v>
      </c>
      <c r="K10" s="175">
        <v>44</v>
      </c>
      <c r="L10" s="177">
        <v>2902.4</v>
      </c>
      <c r="M10" s="178">
        <f t="shared" si="2"/>
        <v>65.963636363636368</v>
      </c>
      <c r="N10" s="164">
        <v>25</v>
      </c>
      <c r="O10" s="177">
        <v>1733.3399999999997</v>
      </c>
      <c r="P10" s="178">
        <f t="shared" si="3"/>
        <v>69.33359999999999</v>
      </c>
      <c r="Q10" s="164">
        <v>75</v>
      </c>
      <c r="R10" s="177">
        <v>4236.74</v>
      </c>
      <c r="S10" s="178">
        <f t="shared" si="4"/>
        <v>56.489866666666664</v>
      </c>
      <c r="T10" s="175"/>
      <c r="U10" s="176">
        <v>28</v>
      </c>
      <c r="V10" s="177">
        <v>392.49</v>
      </c>
      <c r="W10" s="177">
        <f t="shared" si="7"/>
        <v>14.0175</v>
      </c>
      <c r="X10" s="176">
        <v>18</v>
      </c>
      <c r="Y10" s="167">
        <v>125.39999999999999</v>
      </c>
      <c r="Z10" s="197">
        <f t="shared" si="5"/>
        <v>6.9666666666666659</v>
      </c>
      <c r="AA10" s="175"/>
      <c r="AB10" s="176"/>
      <c r="AC10" s="176"/>
      <c r="AD10" s="176"/>
      <c r="AE10" s="176"/>
      <c r="AF10" s="179"/>
      <c r="AG10" s="198">
        <v>103</v>
      </c>
      <c r="AH10" s="104">
        <v>1210.0000000000002</v>
      </c>
      <c r="AI10" s="172">
        <f t="shared" ref="AI10:AI36" si="8">AH10/AG10</f>
        <v>11.747572815533983</v>
      </c>
      <c r="AJ10" s="199">
        <f t="shared" si="6"/>
        <v>26633.49</v>
      </c>
    </row>
    <row r="11" spans="1:36" x14ac:dyDescent="0.25">
      <c r="A11" s="163">
        <v>45844</v>
      </c>
      <c r="B11" s="175">
        <v>200</v>
      </c>
      <c r="C11" s="176">
        <v>210</v>
      </c>
      <c r="D11" s="176">
        <v>266</v>
      </c>
      <c r="E11" s="176"/>
      <c r="F11" s="165">
        <v>408</v>
      </c>
      <c r="G11" s="176"/>
      <c r="H11" s="165">
        <f>B11*0.2+SUM(C11:D11:G11)*0.4</f>
        <v>393.6</v>
      </c>
      <c r="I11" s="177">
        <v>32180.83</v>
      </c>
      <c r="J11" s="181">
        <f t="shared" si="1"/>
        <v>81.760238821138216</v>
      </c>
      <c r="K11" s="175">
        <v>49</v>
      </c>
      <c r="L11" s="177">
        <v>2397.46</v>
      </c>
      <c r="M11" s="178">
        <f t="shared" si="2"/>
        <v>48.92775510204082</v>
      </c>
      <c r="N11" s="164">
        <v>25</v>
      </c>
      <c r="O11" s="206">
        <v>1728.15</v>
      </c>
      <c r="P11" s="178">
        <f t="shared" si="3"/>
        <v>69.126000000000005</v>
      </c>
      <c r="Q11" s="164">
        <v>75</v>
      </c>
      <c r="R11" s="207">
        <v>3065.5299999999997</v>
      </c>
      <c r="S11" s="178">
        <f t="shared" si="4"/>
        <v>40.873733333333327</v>
      </c>
      <c r="T11" s="175"/>
      <c r="U11" s="176">
        <v>149</v>
      </c>
      <c r="V11" s="177">
        <v>1727</v>
      </c>
      <c r="W11" s="177">
        <f t="shared" si="7"/>
        <v>11.590604026845638</v>
      </c>
      <c r="X11" s="176">
        <v>132</v>
      </c>
      <c r="Y11" s="167">
        <v>915.05</v>
      </c>
      <c r="Z11" s="197">
        <f t="shared" si="5"/>
        <v>6.9321969696969692</v>
      </c>
      <c r="AA11" s="175"/>
      <c r="AB11" s="176"/>
      <c r="AC11" s="176"/>
      <c r="AD11" s="176"/>
      <c r="AE11" s="176"/>
      <c r="AF11" s="179"/>
      <c r="AG11" s="198">
        <v>103</v>
      </c>
      <c r="AH11" s="104">
        <v>1219.2</v>
      </c>
      <c r="AI11" s="172">
        <f t="shared" si="8"/>
        <v>11.836893203883495</v>
      </c>
      <c r="AJ11" s="199">
        <f t="shared" si="6"/>
        <v>43233.22</v>
      </c>
    </row>
    <row r="12" spans="1:36" x14ac:dyDescent="0.25">
      <c r="A12" s="163">
        <v>45845</v>
      </c>
      <c r="B12" s="175">
        <v>200</v>
      </c>
      <c r="C12" s="176">
        <v>210</v>
      </c>
      <c r="D12" s="176">
        <v>247</v>
      </c>
      <c r="E12" s="176"/>
      <c r="F12" s="165">
        <v>408</v>
      </c>
      <c r="G12" s="176"/>
      <c r="H12" s="165">
        <f>B12*0.2+SUM(C12:F12)*0.4</f>
        <v>386</v>
      </c>
      <c r="I12" s="177">
        <v>27686.67</v>
      </c>
      <c r="J12" s="181">
        <f t="shared" si="1"/>
        <v>71.7271243523316</v>
      </c>
      <c r="K12" s="175">
        <v>49</v>
      </c>
      <c r="L12" s="177">
        <v>3271.92</v>
      </c>
      <c r="M12" s="178">
        <f t="shared" si="2"/>
        <v>66.773877551020405</v>
      </c>
      <c r="N12" s="164">
        <v>25</v>
      </c>
      <c r="O12" s="177">
        <v>2279.54</v>
      </c>
      <c r="P12" s="178">
        <f t="shared" si="3"/>
        <v>91.181600000000003</v>
      </c>
      <c r="Q12" s="164">
        <v>75</v>
      </c>
      <c r="R12" s="177">
        <v>3937.0740000000001</v>
      </c>
      <c r="S12" s="178">
        <f t="shared" si="4"/>
        <v>52.494320000000002</v>
      </c>
      <c r="T12" s="175"/>
      <c r="U12" s="176">
        <v>13</v>
      </c>
      <c r="V12" s="177">
        <v>182.28</v>
      </c>
      <c r="W12" s="177">
        <f t="shared" si="7"/>
        <v>14.021538461538462</v>
      </c>
      <c r="X12" s="176">
        <v>129</v>
      </c>
      <c r="Y12" s="167">
        <v>905.9</v>
      </c>
      <c r="Z12" s="197">
        <f t="shared" si="5"/>
        <v>7.0224806201550383</v>
      </c>
      <c r="AA12" s="175"/>
      <c r="AB12" s="176"/>
      <c r="AC12" s="176"/>
      <c r="AD12" s="176"/>
      <c r="AE12" s="176"/>
      <c r="AF12" s="179"/>
      <c r="AG12" s="198">
        <v>103</v>
      </c>
      <c r="AH12" s="104">
        <v>1204.2</v>
      </c>
      <c r="AI12" s="172">
        <f t="shared" si="8"/>
        <v>11.691262135922331</v>
      </c>
      <c r="AJ12" s="199">
        <f t="shared" si="6"/>
        <v>39467.583999999995</v>
      </c>
    </row>
    <row r="13" spans="1:36" x14ac:dyDescent="0.25">
      <c r="A13" s="163">
        <v>45846</v>
      </c>
      <c r="B13" s="175">
        <v>200</v>
      </c>
      <c r="C13" s="176">
        <v>210</v>
      </c>
      <c r="D13" s="176">
        <v>205</v>
      </c>
      <c r="E13" s="176"/>
      <c r="F13" s="165">
        <v>408</v>
      </c>
      <c r="G13" s="176">
        <v>140</v>
      </c>
      <c r="H13" s="165">
        <f>B13*0.2+SUM(C13:D13:G13)*0.4</f>
        <v>425.20000000000005</v>
      </c>
      <c r="I13" s="177">
        <v>21212.125</v>
      </c>
      <c r="J13" s="181">
        <f t="shared" si="1"/>
        <v>49.887405926622762</v>
      </c>
      <c r="K13" s="175">
        <v>49</v>
      </c>
      <c r="L13" s="177">
        <v>2501.1</v>
      </c>
      <c r="M13" s="178">
        <f t="shared" si="2"/>
        <v>51.042857142857144</v>
      </c>
      <c r="N13" s="164">
        <v>25</v>
      </c>
      <c r="O13" s="177">
        <v>1742.73</v>
      </c>
      <c r="P13" s="178">
        <f t="shared" si="3"/>
        <v>69.709199999999996</v>
      </c>
      <c r="Q13" s="164">
        <v>75</v>
      </c>
      <c r="R13" s="177">
        <v>4003.2999999999997</v>
      </c>
      <c r="S13" s="178">
        <f t="shared" si="4"/>
        <v>53.377333333333333</v>
      </c>
      <c r="T13" s="175"/>
      <c r="U13" s="176">
        <v>13</v>
      </c>
      <c r="V13" s="177">
        <v>177.39000000000001</v>
      </c>
      <c r="W13" s="177">
        <f t="shared" si="7"/>
        <v>13.645384615384616</v>
      </c>
      <c r="X13" s="176">
        <v>132</v>
      </c>
      <c r="Y13" s="167">
        <v>927.42</v>
      </c>
      <c r="Z13" s="197">
        <f t="shared" si="5"/>
        <v>7.0259090909090904</v>
      </c>
      <c r="AA13" s="175"/>
      <c r="AB13" s="176"/>
      <c r="AC13" s="176"/>
      <c r="AD13" s="176"/>
      <c r="AE13" s="176"/>
      <c r="AF13" s="179"/>
      <c r="AG13" s="198">
        <v>103</v>
      </c>
      <c r="AH13" s="104">
        <v>1235.2</v>
      </c>
      <c r="AI13" s="172">
        <f t="shared" si="8"/>
        <v>11.992233009708738</v>
      </c>
      <c r="AJ13" s="199">
        <f t="shared" si="6"/>
        <v>31799.264999999996</v>
      </c>
    </row>
    <row r="14" spans="1:36" x14ac:dyDescent="0.25">
      <c r="A14" s="163">
        <v>45847</v>
      </c>
      <c r="B14" s="175">
        <v>200</v>
      </c>
      <c r="C14" s="176">
        <v>210</v>
      </c>
      <c r="D14" s="176">
        <v>205</v>
      </c>
      <c r="E14" s="176"/>
      <c r="F14" s="165">
        <v>408</v>
      </c>
      <c r="G14" s="176"/>
      <c r="H14" s="165">
        <f t="shared" si="0"/>
        <v>369.20000000000005</v>
      </c>
      <c r="I14" s="177">
        <v>22788.12</v>
      </c>
      <c r="J14" s="181">
        <f t="shared" si="1"/>
        <v>61.722968580715047</v>
      </c>
      <c r="K14" s="175">
        <v>49</v>
      </c>
      <c r="L14" s="177">
        <v>2847.2999999999997</v>
      </c>
      <c r="M14" s="178">
        <f t="shared" si="2"/>
        <v>58.108163265306118</v>
      </c>
      <c r="N14" s="164">
        <v>25</v>
      </c>
      <c r="O14" s="177">
        <v>1532.42</v>
      </c>
      <c r="P14" s="178">
        <f t="shared" si="3"/>
        <v>61.296800000000005</v>
      </c>
      <c r="Q14" s="164">
        <v>75</v>
      </c>
      <c r="R14" s="177">
        <v>4257.0199999999995</v>
      </c>
      <c r="S14" s="178">
        <f t="shared" si="4"/>
        <v>56.760266666666659</v>
      </c>
      <c r="T14" s="175"/>
      <c r="U14" s="176">
        <v>35</v>
      </c>
      <c r="V14" s="177">
        <v>441.71000000000004</v>
      </c>
      <c r="W14" s="177">
        <f t="shared" si="7"/>
        <v>12.620285714285716</v>
      </c>
      <c r="X14" s="176">
        <v>132</v>
      </c>
      <c r="Y14" s="177">
        <v>923.16</v>
      </c>
      <c r="Z14" s="197">
        <f t="shared" si="5"/>
        <v>6.9936363636363632</v>
      </c>
      <c r="AA14" s="175"/>
      <c r="AB14" s="176"/>
      <c r="AC14" s="176"/>
      <c r="AD14" s="176"/>
      <c r="AE14" s="176"/>
      <c r="AF14" s="179"/>
      <c r="AG14" s="198">
        <v>103</v>
      </c>
      <c r="AH14" s="104">
        <v>1054.68</v>
      </c>
      <c r="AI14" s="172">
        <f t="shared" si="8"/>
        <v>10.239611650485438</v>
      </c>
      <c r="AJ14" s="199">
        <f t="shared" si="6"/>
        <v>33844.409999999996</v>
      </c>
    </row>
    <row r="15" spans="1:36" x14ac:dyDescent="0.25">
      <c r="A15" s="163">
        <v>45848</v>
      </c>
      <c r="B15" s="175">
        <v>200</v>
      </c>
      <c r="C15" s="176">
        <v>210</v>
      </c>
      <c r="D15" s="176">
        <v>205</v>
      </c>
      <c r="E15" s="176"/>
      <c r="F15" s="165">
        <v>408</v>
      </c>
      <c r="G15" s="176"/>
      <c r="H15" s="165">
        <f t="shared" si="0"/>
        <v>369.20000000000005</v>
      </c>
      <c r="I15" s="177">
        <v>17213.663850000001</v>
      </c>
      <c r="J15" s="181">
        <f t="shared" si="1"/>
        <v>46.624224945828814</v>
      </c>
      <c r="K15" s="175">
        <v>49</v>
      </c>
      <c r="L15" s="177">
        <v>2753.8010000000004</v>
      </c>
      <c r="M15" s="178">
        <f t="shared" si="2"/>
        <v>56.200020408163276</v>
      </c>
      <c r="N15" s="164">
        <v>25</v>
      </c>
      <c r="O15" s="177">
        <v>1356.5699999999997</v>
      </c>
      <c r="P15" s="178">
        <f t="shared" si="3"/>
        <v>54.262799999999991</v>
      </c>
      <c r="Q15" s="164">
        <v>75</v>
      </c>
      <c r="R15" s="177">
        <v>3491.6</v>
      </c>
      <c r="S15" s="178">
        <f t="shared" si="4"/>
        <v>46.554666666666662</v>
      </c>
      <c r="T15" s="175"/>
      <c r="U15" s="176">
        <v>35</v>
      </c>
      <c r="V15" s="177">
        <v>486.20000000000005</v>
      </c>
      <c r="W15" s="177">
        <f t="shared" si="7"/>
        <v>13.891428571428573</v>
      </c>
      <c r="X15" s="176">
        <v>128</v>
      </c>
      <c r="Y15" s="177">
        <v>865.96</v>
      </c>
      <c r="Z15" s="197">
        <f t="shared" si="5"/>
        <v>6.7653125000000003</v>
      </c>
      <c r="AA15" s="175"/>
      <c r="AB15" s="176"/>
      <c r="AC15" s="176"/>
      <c r="AD15" s="176"/>
      <c r="AE15" s="176"/>
      <c r="AF15" s="179"/>
      <c r="AG15" s="198">
        <v>99</v>
      </c>
      <c r="AH15" s="104">
        <v>1270.99</v>
      </c>
      <c r="AI15" s="172">
        <f t="shared" si="8"/>
        <v>12.838282828282829</v>
      </c>
      <c r="AJ15" s="199">
        <f t="shared" si="6"/>
        <v>27438.78485</v>
      </c>
    </row>
    <row r="16" spans="1:36" x14ac:dyDescent="0.25">
      <c r="A16" s="163">
        <v>45849</v>
      </c>
      <c r="B16" s="175">
        <v>103</v>
      </c>
      <c r="C16" s="176">
        <v>107</v>
      </c>
      <c r="D16" s="176">
        <v>85</v>
      </c>
      <c r="E16" s="176"/>
      <c r="F16" s="165">
        <v>400</v>
      </c>
      <c r="G16" s="176"/>
      <c r="H16" s="165">
        <f>B16*0.2+SUM(C16:G16)*0.4</f>
        <v>257.40000000000003</v>
      </c>
      <c r="I16" s="177">
        <v>12261.859999999999</v>
      </c>
      <c r="J16" s="181">
        <f t="shared" si="1"/>
        <v>47.637373737373728</v>
      </c>
      <c r="K16" s="175">
        <v>49</v>
      </c>
      <c r="L16" s="177">
        <v>2623.4700000000003</v>
      </c>
      <c r="M16" s="178">
        <f t="shared" si="2"/>
        <v>53.540204081632659</v>
      </c>
      <c r="N16" s="164">
        <v>25</v>
      </c>
      <c r="O16" s="177">
        <v>1444.6</v>
      </c>
      <c r="P16" s="178">
        <f t="shared" si="3"/>
        <v>57.783999999999999</v>
      </c>
      <c r="Q16" s="164">
        <v>75</v>
      </c>
      <c r="R16" s="177">
        <v>3198.23</v>
      </c>
      <c r="S16" s="178">
        <f t="shared" si="4"/>
        <v>42.64306666666667</v>
      </c>
      <c r="T16" s="175"/>
      <c r="U16" s="176">
        <v>28</v>
      </c>
      <c r="V16" s="177">
        <v>353.6</v>
      </c>
      <c r="W16" s="177">
        <f t="shared" si="7"/>
        <v>12.62857142857143</v>
      </c>
      <c r="X16" s="176">
        <v>15</v>
      </c>
      <c r="Y16" s="177">
        <v>132.60000000000002</v>
      </c>
      <c r="Z16" s="197">
        <f t="shared" si="5"/>
        <v>8.8400000000000016</v>
      </c>
      <c r="AA16" s="175"/>
      <c r="AB16" s="176"/>
      <c r="AC16" s="176"/>
      <c r="AD16" s="176"/>
      <c r="AE16" s="176"/>
      <c r="AF16" s="179"/>
      <c r="AG16" s="198">
        <v>99</v>
      </c>
      <c r="AH16" s="104">
        <v>1181.55</v>
      </c>
      <c r="AI16" s="172">
        <f t="shared" si="8"/>
        <v>11.934848484848484</v>
      </c>
      <c r="AJ16" s="199">
        <f t="shared" si="6"/>
        <v>21195.909999999996</v>
      </c>
    </row>
    <row r="17" spans="1:36" x14ac:dyDescent="0.25">
      <c r="A17" s="163">
        <v>45850</v>
      </c>
      <c r="B17" s="175">
        <v>85</v>
      </c>
      <c r="C17" s="176">
        <v>95</v>
      </c>
      <c r="D17" s="176">
        <v>85</v>
      </c>
      <c r="E17" s="176"/>
      <c r="F17" s="165">
        <v>408</v>
      </c>
      <c r="G17" s="176"/>
      <c r="H17" s="165">
        <f t="shared" si="0"/>
        <v>252.20000000000002</v>
      </c>
      <c r="I17" s="177">
        <v>13040.33</v>
      </c>
      <c r="J17" s="181">
        <f t="shared" si="1"/>
        <v>51.706304520222041</v>
      </c>
      <c r="K17" s="175">
        <v>43</v>
      </c>
      <c r="L17" s="177">
        <v>2260.9900000000002</v>
      </c>
      <c r="M17" s="178">
        <f t="shared" si="2"/>
        <v>52.581162790697682</v>
      </c>
      <c r="N17" s="164">
        <v>25</v>
      </c>
      <c r="O17" s="177">
        <v>1476.72</v>
      </c>
      <c r="P17" s="178">
        <f t="shared" si="3"/>
        <v>59.068800000000003</v>
      </c>
      <c r="Q17" s="164">
        <v>75</v>
      </c>
      <c r="R17" s="177">
        <v>3321.5999999999995</v>
      </c>
      <c r="S17" s="178">
        <f t="shared" si="4"/>
        <v>44.28799999999999</v>
      </c>
      <c r="T17" s="175"/>
      <c r="U17" s="176">
        <v>35</v>
      </c>
      <c r="V17" s="177">
        <v>451</v>
      </c>
      <c r="W17" s="177">
        <f t="shared" si="7"/>
        <v>12.885714285714286</v>
      </c>
      <c r="X17" s="176">
        <v>133</v>
      </c>
      <c r="Y17" s="177">
        <v>955.54000000000008</v>
      </c>
      <c r="Z17" s="197">
        <f t="shared" si="5"/>
        <v>7.1845112781954894</v>
      </c>
      <c r="AA17" s="175"/>
      <c r="AB17" s="176"/>
      <c r="AC17" s="176"/>
      <c r="AD17" s="176"/>
      <c r="AE17" s="176"/>
      <c r="AF17" s="179"/>
      <c r="AG17" s="198">
        <v>99</v>
      </c>
      <c r="AH17" s="104">
        <v>1129.22</v>
      </c>
      <c r="AI17" s="172">
        <f t="shared" si="8"/>
        <v>11.406262626262626</v>
      </c>
      <c r="AJ17" s="199">
        <f t="shared" si="6"/>
        <v>22635.4</v>
      </c>
    </row>
    <row r="18" spans="1:36" x14ac:dyDescent="0.25">
      <c r="A18" s="163">
        <v>45851</v>
      </c>
      <c r="B18" s="175">
        <v>200</v>
      </c>
      <c r="C18" s="176">
        <v>210</v>
      </c>
      <c r="D18" s="176">
        <v>287</v>
      </c>
      <c r="E18" s="176"/>
      <c r="F18" s="165">
        <v>408</v>
      </c>
      <c r="G18" s="176"/>
      <c r="H18" s="165">
        <f t="shared" si="0"/>
        <v>402</v>
      </c>
      <c r="I18" s="177">
        <v>26123.795000000002</v>
      </c>
      <c r="J18" s="181">
        <f t="shared" si="1"/>
        <v>64.984564676616927</v>
      </c>
      <c r="K18" s="175">
        <v>43</v>
      </c>
      <c r="L18" s="177">
        <v>2241.0700000000002</v>
      </c>
      <c r="M18" s="178">
        <f t="shared" si="2"/>
        <v>52.117906976744187</v>
      </c>
      <c r="N18" s="164">
        <v>25</v>
      </c>
      <c r="O18" s="177">
        <v>1450.8</v>
      </c>
      <c r="P18" s="178">
        <f t="shared" si="3"/>
        <v>58.031999999999996</v>
      </c>
      <c r="Q18" s="164">
        <v>75</v>
      </c>
      <c r="R18" s="177">
        <v>4156.8999999999996</v>
      </c>
      <c r="S18" s="178">
        <f t="shared" si="4"/>
        <v>55.425333333333327</v>
      </c>
      <c r="T18" s="175"/>
      <c r="U18" s="176">
        <v>171</v>
      </c>
      <c r="V18" s="177">
        <v>2425.19</v>
      </c>
      <c r="W18" s="177">
        <f t="shared" si="7"/>
        <v>14.182397660818713</v>
      </c>
      <c r="X18" s="176">
        <v>144</v>
      </c>
      <c r="Y18" s="177">
        <v>952.7</v>
      </c>
      <c r="Z18" s="197">
        <f t="shared" si="5"/>
        <v>6.6159722222222221</v>
      </c>
      <c r="AA18" s="175"/>
      <c r="AB18" s="176"/>
      <c r="AC18" s="176"/>
      <c r="AD18" s="176"/>
      <c r="AE18" s="176"/>
      <c r="AF18" s="179"/>
      <c r="AG18" s="198">
        <v>99</v>
      </c>
      <c r="AH18" s="104">
        <v>1130.78</v>
      </c>
      <c r="AI18" s="172">
        <f t="shared" si="8"/>
        <v>11.422020202020201</v>
      </c>
      <c r="AJ18" s="199">
        <f t="shared" si="6"/>
        <v>38481.235000000001</v>
      </c>
    </row>
    <row r="19" spans="1:36" x14ac:dyDescent="0.25">
      <c r="A19" s="163">
        <v>45852</v>
      </c>
      <c r="B19" s="175">
        <v>200</v>
      </c>
      <c r="C19" s="176">
        <v>210</v>
      </c>
      <c r="D19" s="176">
        <v>243</v>
      </c>
      <c r="E19" s="176"/>
      <c r="F19" s="165">
        <v>411</v>
      </c>
      <c r="G19" s="176"/>
      <c r="H19" s="165">
        <f t="shared" si="0"/>
        <v>385.6</v>
      </c>
      <c r="I19" s="177">
        <v>28442.10999999999</v>
      </c>
      <c r="J19" s="181">
        <f t="shared" si="1"/>
        <v>73.760658713692919</v>
      </c>
      <c r="K19" s="175">
        <v>45</v>
      </c>
      <c r="L19" s="177">
        <v>2557.9499999999998</v>
      </c>
      <c r="M19" s="178">
        <f t="shared" si="2"/>
        <v>56.843333333333327</v>
      </c>
      <c r="N19" s="164">
        <v>25</v>
      </c>
      <c r="O19" s="177">
        <v>1201.45</v>
      </c>
      <c r="P19" s="178">
        <f t="shared" si="3"/>
        <v>48.058</v>
      </c>
      <c r="Q19" s="164">
        <v>75</v>
      </c>
      <c r="R19" s="177">
        <v>3845.64</v>
      </c>
      <c r="S19" s="178">
        <f t="shared" si="4"/>
        <v>51.275199999999998</v>
      </c>
      <c r="T19" s="175"/>
      <c r="U19" s="176">
        <v>35</v>
      </c>
      <c r="V19" s="177">
        <v>495.40000000000003</v>
      </c>
      <c r="W19" s="177">
        <f t="shared" si="7"/>
        <v>14.154285714285715</v>
      </c>
      <c r="X19" s="176">
        <v>138</v>
      </c>
      <c r="Y19" s="177">
        <v>944.25</v>
      </c>
      <c r="Z19" s="197">
        <f t="shared" si="5"/>
        <v>6.8423913043478262</v>
      </c>
      <c r="AA19" s="175"/>
      <c r="AB19" s="176"/>
      <c r="AC19" s="176"/>
      <c r="AD19" s="176"/>
      <c r="AE19" s="176"/>
      <c r="AF19" s="179"/>
      <c r="AG19" s="198">
        <v>99</v>
      </c>
      <c r="AH19" s="104">
        <v>1082.5000000000002</v>
      </c>
      <c r="AI19" s="172">
        <f t="shared" si="8"/>
        <v>10.934343434343436</v>
      </c>
      <c r="AJ19" s="199">
        <f t="shared" si="6"/>
        <v>38569.299999999996</v>
      </c>
    </row>
    <row r="20" spans="1:36" x14ac:dyDescent="0.25">
      <c r="A20" s="163">
        <v>45853</v>
      </c>
      <c r="B20" s="175">
        <v>200</v>
      </c>
      <c r="C20" s="176">
        <v>210</v>
      </c>
      <c r="D20" s="176">
        <v>205</v>
      </c>
      <c r="E20" s="176"/>
      <c r="F20" s="165">
        <v>411</v>
      </c>
      <c r="G20" s="176"/>
      <c r="H20" s="165">
        <f t="shared" si="0"/>
        <v>370.40000000000003</v>
      </c>
      <c r="I20" s="177">
        <v>19909.115000000002</v>
      </c>
      <c r="J20" s="181">
        <f t="shared" si="1"/>
        <v>53.750310475161989</v>
      </c>
      <c r="K20" s="175">
        <v>46</v>
      </c>
      <c r="L20" s="177">
        <v>2530.25</v>
      </c>
      <c r="M20" s="178">
        <f t="shared" si="2"/>
        <v>55.005434782608695</v>
      </c>
      <c r="N20" s="164">
        <v>25</v>
      </c>
      <c r="O20" s="177">
        <v>1055.6400000000001</v>
      </c>
      <c r="P20" s="178">
        <f t="shared" si="3"/>
        <v>42.225600000000007</v>
      </c>
      <c r="Q20" s="164">
        <v>75</v>
      </c>
      <c r="R20" s="177">
        <v>3987.63</v>
      </c>
      <c r="S20" s="178">
        <f t="shared" si="4"/>
        <v>53.168399999999998</v>
      </c>
      <c r="T20" s="175"/>
      <c r="U20" s="176">
        <v>35</v>
      </c>
      <c r="V20" s="177">
        <v>489.8</v>
      </c>
      <c r="W20" s="177">
        <f t="shared" si="7"/>
        <v>13.994285714285715</v>
      </c>
      <c r="X20" s="176">
        <v>136</v>
      </c>
      <c r="Y20" s="177">
        <v>941.05</v>
      </c>
      <c r="Z20" s="197">
        <f t="shared" si="5"/>
        <v>6.9194852941176466</v>
      </c>
      <c r="AA20" s="175"/>
      <c r="AB20" s="176"/>
      <c r="AC20" s="176"/>
      <c r="AD20" s="176"/>
      <c r="AE20" s="176"/>
      <c r="AF20" s="179"/>
      <c r="AG20" s="198">
        <v>99</v>
      </c>
      <c r="AH20" s="104">
        <v>1006.952</v>
      </c>
      <c r="AI20" s="172">
        <f t="shared" si="8"/>
        <v>10.171232323232323</v>
      </c>
      <c r="AJ20" s="199">
        <f t="shared" si="6"/>
        <v>29920.437000000002</v>
      </c>
    </row>
    <row r="21" spans="1:36" x14ac:dyDescent="0.25">
      <c r="A21" s="163">
        <v>45854</v>
      </c>
      <c r="B21" s="175">
        <v>200</v>
      </c>
      <c r="C21" s="176">
        <v>210</v>
      </c>
      <c r="D21" s="176">
        <v>205</v>
      </c>
      <c r="E21" s="176"/>
      <c r="F21" s="165">
        <v>411</v>
      </c>
      <c r="G21" s="176"/>
      <c r="H21" s="165">
        <f t="shared" si="0"/>
        <v>370.40000000000003</v>
      </c>
      <c r="I21" s="177">
        <v>19579.54</v>
      </c>
      <c r="J21" s="181">
        <f t="shared" si="1"/>
        <v>52.860529157667386</v>
      </c>
      <c r="K21" s="175">
        <v>46</v>
      </c>
      <c r="L21" s="177">
        <v>2171.31</v>
      </c>
      <c r="M21" s="178">
        <f t="shared" si="2"/>
        <v>47.202391304347827</v>
      </c>
      <c r="N21" s="164">
        <v>25</v>
      </c>
      <c r="O21" s="177">
        <v>1223.46</v>
      </c>
      <c r="P21" s="178">
        <f t="shared" si="3"/>
        <v>48.938400000000001</v>
      </c>
      <c r="Q21" s="164">
        <v>75</v>
      </c>
      <c r="R21" s="177">
        <v>3530.0499999999997</v>
      </c>
      <c r="S21" s="178">
        <f t="shared" si="4"/>
        <v>47.06733333333333</v>
      </c>
      <c r="T21" s="175"/>
      <c r="U21" s="176">
        <v>45</v>
      </c>
      <c r="V21" s="177">
        <v>653.5</v>
      </c>
      <c r="W21" s="177">
        <f t="shared" si="7"/>
        <v>14.522222222222222</v>
      </c>
      <c r="X21" s="176">
        <v>128</v>
      </c>
      <c r="Y21" s="177">
        <v>900</v>
      </c>
      <c r="Z21" s="197">
        <f t="shared" si="5"/>
        <v>7.03125</v>
      </c>
      <c r="AA21" s="175"/>
      <c r="AB21" s="176"/>
      <c r="AC21" s="176"/>
      <c r="AD21" s="176"/>
      <c r="AE21" s="176"/>
      <c r="AF21" s="179"/>
      <c r="AG21" s="198">
        <v>99</v>
      </c>
      <c r="AH21" s="104">
        <v>1055.76</v>
      </c>
      <c r="AI21" s="172">
        <f t="shared" si="8"/>
        <v>10.664242424242424</v>
      </c>
      <c r="AJ21" s="199">
        <f t="shared" si="6"/>
        <v>29113.62</v>
      </c>
    </row>
    <row r="22" spans="1:36" x14ac:dyDescent="0.25">
      <c r="A22" s="163">
        <v>45855</v>
      </c>
      <c r="B22" s="175">
        <v>200</v>
      </c>
      <c r="C22" s="176">
        <v>210</v>
      </c>
      <c r="D22" s="176">
        <v>205</v>
      </c>
      <c r="E22" s="176"/>
      <c r="F22" s="165">
        <v>409</v>
      </c>
      <c r="G22" s="176"/>
      <c r="H22" s="165">
        <f t="shared" si="0"/>
        <v>369.6</v>
      </c>
      <c r="I22" s="177">
        <v>19678.64</v>
      </c>
      <c r="J22" s="181">
        <f t="shared" si="1"/>
        <v>53.243073593073589</v>
      </c>
      <c r="K22" s="175">
        <v>46</v>
      </c>
      <c r="L22" s="177">
        <v>2175.3200000000002</v>
      </c>
      <c r="M22" s="178">
        <f t="shared" si="2"/>
        <v>47.289565217391306</v>
      </c>
      <c r="N22" s="164">
        <v>25</v>
      </c>
      <c r="O22" s="177">
        <v>1490.31</v>
      </c>
      <c r="P22" s="178">
        <f t="shared" si="3"/>
        <v>59.612400000000001</v>
      </c>
      <c r="Q22" s="164">
        <v>75</v>
      </c>
      <c r="R22" s="177">
        <v>3690.43</v>
      </c>
      <c r="S22" s="178">
        <f t="shared" si="4"/>
        <v>49.205733333333335</v>
      </c>
      <c r="T22" s="175"/>
      <c r="U22" s="176">
        <v>35</v>
      </c>
      <c r="V22" s="177">
        <v>332.67999999999995</v>
      </c>
      <c r="W22" s="177">
        <f t="shared" si="7"/>
        <v>9.5051428571428556</v>
      </c>
      <c r="X22" s="176">
        <v>130</v>
      </c>
      <c r="Y22" s="177">
        <v>872.26</v>
      </c>
      <c r="Z22" s="197">
        <f t="shared" si="5"/>
        <v>6.7096923076923076</v>
      </c>
      <c r="AA22" s="175"/>
      <c r="AB22" s="176"/>
      <c r="AC22" s="176"/>
      <c r="AD22" s="176"/>
      <c r="AE22" s="176"/>
      <c r="AF22" s="179"/>
      <c r="AG22" s="198">
        <v>99</v>
      </c>
      <c r="AH22" s="104">
        <v>1212.0599999999997</v>
      </c>
      <c r="AI22" s="172">
        <f t="shared" si="8"/>
        <v>12.2430303030303</v>
      </c>
      <c r="AJ22" s="199">
        <f t="shared" si="6"/>
        <v>29451.7</v>
      </c>
    </row>
    <row r="23" spans="1:36" x14ac:dyDescent="0.25">
      <c r="A23" s="163">
        <v>45856</v>
      </c>
      <c r="B23" s="175">
        <v>85</v>
      </c>
      <c r="C23" s="176">
        <v>95</v>
      </c>
      <c r="D23" s="176">
        <v>94</v>
      </c>
      <c r="E23" s="176"/>
      <c r="F23" s="165">
        <v>400</v>
      </c>
      <c r="G23" s="176"/>
      <c r="H23" s="165">
        <f t="shared" si="0"/>
        <v>252.60000000000002</v>
      </c>
      <c r="I23" s="177">
        <v>13775.32</v>
      </c>
      <c r="J23" s="181">
        <f t="shared" si="1"/>
        <v>54.534125098970698</v>
      </c>
      <c r="K23" s="175">
        <v>46</v>
      </c>
      <c r="L23" s="177">
        <v>2750</v>
      </c>
      <c r="M23" s="178">
        <f t="shared" si="2"/>
        <v>59.782608695652172</v>
      </c>
      <c r="N23" s="164">
        <v>25</v>
      </c>
      <c r="O23" s="177">
        <v>1368.5</v>
      </c>
      <c r="P23" s="178">
        <f t="shared" si="3"/>
        <v>54.74</v>
      </c>
      <c r="Q23" s="164">
        <v>75</v>
      </c>
      <c r="R23" s="177">
        <v>2953.15</v>
      </c>
      <c r="S23" s="178">
        <f t="shared" si="4"/>
        <v>39.375333333333337</v>
      </c>
      <c r="T23" s="175"/>
      <c r="U23" s="176">
        <v>28</v>
      </c>
      <c r="V23" s="177">
        <v>128.5</v>
      </c>
      <c r="W23" s="177">
        <f t="shared" si="7"/>
        <v>4.5892857142857144</v>
      </c>
      <c r="X23" s="176">
        <v>13</v>
      </c>
      <c r="Y23" s="177">
        <v>91.15</v>
      </c>
      <c r="Z23" s="197">
        <f t="shared" si="5"/>
        <v>7.0115384615384624</v>
      </c>
      <c r="AA23" s="175"/>
      <c r="AB23" s="176"/>
      <c r="AC23" s="176"/>
      <c r="AD23" s="176"/>
      <c r="AE23" s="176"/>
      <c r="AF23" s="179"/>
      <c r="AG23" s="198">
        <v>99</v>
      </c>
      <c r="AH23" s="104">
        <v>1238.6299999999999</v>
      </c>
      <c r="AI23" s="172">
        <f t="shared" si="8"/>
        <v>12.511414141414141</v>
      </c>
      <c r="AJ23" s="199">
        <f t="shared" si="6"/>
        <v>22305.250000000004</v>
      </c>
    </row>
    <row r="24" spans="1:36" x14ac:dyDescent="0.25">
      <c r="A24" s="163">
        <v>45857</v>
      </c>
      <c r="B24" s="175">
        <v>85</v>
      </c>
      <c r="C24" s="176">
        <v>95</v>
      </c>
      <c r="D24" s="176">
        <v>89</v>
      </c>
      <c r="E24" s="176"/>
      <c r="F24" s="165">
        <v>400</v>
      </c>
      <c r="G24" s="176"/>
      <c r="H24" s="165">
        <f t="shared" si="0"/>
        <v>250.60000000000002</v>
      </c>
      <c r="I24" s="177">
        <v>15756.349999999997</v>
      </c>
      <c r="J24" s="181">
        <f t="shared" si="1"/>
        <v>62.874501197126875</v>
      </c>
      <c r="K24" s="175">
        <v>47</v>
      </c>
      <c r="L24" s="177">
        <v>3061.1800000000003</v>
      </c>
      <c r="M24" s="178">
        <f t="shared" si="2"/>
        <v>65.131489361702137</v>
      </c>
      <c r="N24" s="164">
        <v>25</v>
      </c>
      <c r="O24" s="177">
        <v>1362.15</v>
      </c>
      <c r="P24" s="178">
        <f t="shared" si="3"/>
        <v>54.486000000000004</v>
      </c>
      <c r="Q24" s="164">
        <v>75</v>
      </c>
      <c r="R24" s="177">
        <v>4219.2</v>
      </c>
      <c r="S24" s="178">
        <f t="shared" si="4"/>
        <v>56.256</v>
      </c>
      <c r="T24" s="175"/>
      <c r="U24" s="176">
        <v>28</v>
      </c>
      <c r="V24" s="177">
        <v>392.37</v>
      </c>
      <c r="W24" s="177">
        <f t="shared" si="7"/>
        <v>14.013214285714286</v>
      </c>
      <c r="X24" s="176">
        <v>16</v>
      </c>
      <c r="Y24" s="177">
        <v>111.64999999999999</v>
      </c>
      <c r="Z24" s="197">
        <f t="shared" si="5"/>
        <v>6.9781249999999995</v>
      </c>
      <c r="AA24" s="175"/>
      <c r="AB24" s="176"/>
      <c r="AC24" s="176"/>
      <c r="AD24" s="176"/>
      <c r="AE24" s="176"/>
      <c r="AF24" s="179"/>
      <c r="AG24" s="198">
        <v>99</v>
      </c>
      <c r="AH24" s="104">
        <v>1177.68</v>
      </c>
      <c r="AI24" s="172">
        <f t="shared" si="8"/>
        <v>11.895757575757576</v>
      </c>
      <c r="AJ24" s="199">
        <f t="shared" si="6"/>
        <v>26080.58</v>
      </c>
    </row>
    <row r="25" spans="1:36" x14ac:dyDescent="0.25">
      <c r="A25" s="163">
        <v>45858</v>
      </c>
      <c r="B25" s="175">
        <v>200</v>
      </c>
      <c r="C25" s="176">
        <v>210</v>
      </c>
      <c r="D25" s="176">
        <v>253</v>
      </c>
      <c r="E25" s="176"/>
      <c r="F25" s="165">
        <v>400</v>
      </c>
      <c r="G25" s="176">
        <v>210</v>
      </c>
      <c r="H25" s="165">
        <f t="shared" si="0"/>
        <v>385.20000000000005</v>
      </c>
      <c r="I25" s="177">
        <v>21529.020000000004</v>
      </c>
      <c r="J25" s="181">
        <f t="shared" si="1"/>
        <v>55.890498442367608</v>
      </c>
      <c r="K25" s="175">
        <v>46</v>
      </c>
      <c r="L25" s="177">
        <v>2679.34</v>
      </c>
      <c r="M25" s="178">
        <f t="shared" si="2"/>
        <v>58.246521739130436</v>
      </c>
      <c r="N25" s="164">
        <v>25</v>
      </c>
      <c r="O25" s="177">
        <v>1792.6</v>
      </c>
      <c r="P25" s="178">
        <f t="shared" si="3"/>
        <v>71.703999999999994</v>
      </c>
      <c r="Q25" s="164">
        <v>75</v>
      </c>
      <c r="R25" s="177">
        <v>3808.33</v>
      </c>
      <c r="S25" s="178">
        <f t="shared" si="4"/>
        <v>50.77773333333333</v>
      </c>
      <c r="T25" s="175"/>
      <c r="U25" s="176">
        <v>164</v>
      </c>
      <c r="V25" s="177">
        <v>2272.5</v>
      </c>
      <c r="W25" s="177">
        <f t="shared" si="7"/>
        <v>13.856707317073171</v>
      </c>
      <c r="X25" s="176">
        <v>21</v>
      </c>
      <c r="Y25" s="177">
        <v>143.26</v>
      </c>
      <c r="Z25" s="197">
        <f t="shared" si="5"/>
        <v>6.8219047619047615</v>
      </c>
      <c r="AA25" s="175"/>
      <c r="AB25" s="176"/>
      <c r="AC25" s="176"/>
      <c r="AD25" s="176"/>
      <c r="AE25" s="176"/>
      <c r="AF25" s="179"/>
      <c r="AG25" s="198">
        <v>99</v>
      </c>
      <c r="AH25" s="104">
        <v>1143</v>
      </c>
      <c r="AI25" s="172">
        <f t="shared" si="8"/>
        <v>11.545454545454545</v>
      </c>
      <c r="AJ25" s="199">
        <f t="shared" si="6"/>
        <v>33368.050000000003</v>
      </c>
    </row>
    <row r="26" spans="1:36" x14ac:dyDescent="0.25">
      <c r="A26" s="163">
        <v>45859</v>
      </c>
      <c r="B26" s="175">
        <v>200</v>
      </c>
      <c r="C26" s="176">
        <v>210</v>
      </c>
      <c r="D26" s="176">
        <v>232</v>
      </c>
      <c r="E26" s="176"/>
      <c r="F26" s="165">
        <v>412</v>
      </c>
      <c r="G26" s="176"/>
      <c r="H26" s="165">
        <f t="shared" si="0"/>
        <v>381.6</v>
      </c>
      <c r="I26" s="177">
        <v>26049.981250000001</v>
      </c>
      <c r="J26" s="181">
        <f t="shared" si="1"/>
        <v>68.265150026205447</v>
      </c>
      <c r="K26" s="175">
        <v>46</v>
      </c>
      <c r="L26" s="177">
        <v>2510.8399999999997</v>
      </c>
      <c r="M26" s="178">
        <f t="shared" si="2"/>
        <v>54.583478260869562</v>
      </c>
      <c r="N26" s="164">
        <v>25</v>
      </c>
      <c r="O26" s="177">
        <v>2056.96</v>
      </c>
      <c r="P26" s="178">
        <f t="shared" si="3"/>
        <v>82.278400000000005</v>
      </c>
      <c r="Q26" s="164">
        <v>75</v>
      </c>
      <c r="R26" s="177">
        <v>3405.8559999999998</v>
      </c>
      <c r="S26" s="178">
        <f t="shared" si="4"/>
        <v>45.411413333333329</v>
      </c>
      <c r="T26" s="175"/>
      <c r="U26" s="176">
        <v>35</v>
      </c>
      <c r="V26" s="177">
        <v>488.52</v>
      </c>
      <c r="W26" s="177">
        <f t="shared" si="7"/>
        <v>13.957714285714285</v>
      </c>
      <c r="X26" s="176">
        <v>135</v>
      </c>
      <c r="Y26" s="177">
        <v>937.94</v>
      </c>
      <c r="Z26" s="197">
        <f t="shared" si="5"/>
        <v>6.9477037037037039</v>
      </c>
      <c r="AA26" s="175"/>
      <c r="AB26" s="176"/>
      <c r="AC26" s="176"/>
      <c r="AD26" s="176"/>
      <c r="AE26" s="176"/>
      <c r="AF26" s="179"/>
      <c r="AG26" s="198">
        <v>100</v>
      </c>
      <c r="AH26" s="104">
        <v>1186.1600000000001</v>
      </c>
      <c r="AI26" s="172">
        <f t="shared" si="8"/>
        <v>11.861600000000001</v>
      </c>
      <c r="AJ26" s="199">
        <f t="shared" si="6"/>
        <v>36636.257250000002</v>
      </c>
    </row>
    <row r="27" spans="1:36" x14ac:dyDescent="0.25">
      <c r="A27" s="163">
        <v>45860</v>
      </c>
      <c r="B27" s="175">
        <v>200</v>
      </c>
      <c r="C27" s="176">
        <v>210</v>
      </c>
      <c r="D27" s="176">
        <v>206</v>
      </c>
      <c r="E27" s="176">
        <v>7</v>
      </c>
      <c r="F27" s="165">
        <v>412</v>
      </c>
      <c r="G27" s="176"/>
      <c r="H27" s="165">
        <f t="shared" si="0"/>
        <v>374</v>
      </c>
      <c r="I27" s="177">
        <v>24539.324999999997</v>
      </c>
      <c r="J27" s="181">
        <f t="shared" si="1"/>
        <v>65.613168449197858</v>
      </c>
      <c r="K27" s="175">
        <v>47</v>
      </c>
      <c r="L27" s="177">
        <v>2313.5099999999998</v>
      </c>
      <c r="M27" s="178">
        <f t="shared" si="2"/>
        <v>49.223617021276588</v>
      </c>
      <c r="N27" s="164">
        <v>25</v>
      </c>
      <c r="O27" s="177">
        <v>1402.54</v>
      </c>
      <c r="P27" s="178">
        <f t="shared" si="3"/>
        <v>56.101599999999998</v>
      </c>
      <c r="Q27" s="164">
        <v>75</v>
      </c>
      <c r="R27" s="177">
        <v>3339.85</v>
      </c>
      <c r="S27" s="178">
        <f t="shared" si="4"/>
        <v>44.531333333333329</v>
      </c>
      <c r="T27" s="175"/>
      <c r="U27" s="176">
        <v>43</v>
      </c>
      <c r="V27" s="177">
        <v>866.7</v>
      </c>
      <c r="W27" s="177">
        <f t="shared" si="7"/>
        <v>20.155813953488373</v>
      </c>
      <c r="X27" s="176">
        <v>124</v>
      </c>
      <c r="Y27" s="177">
        <v>578.57999999999993</v>
      </c>
      <c r="Z27" s="197">
        <f t="shared" si="5"/>
        <v>4.665967741935483</v>
      </c>
      <c r="AA27" s="175"/>
      <c r="AB27" s="176"/>
      <c r="AC27" s="176"/>
      <c r="AD27" s="176"/>
      <c r="AE27" s="176"/>
      <c r="AF27" s="179"/>
      <c r="AG27" s="198">
        <v>100</v>
      </c>
      <c r="AH27" s="104">
        <v>1101.5</v>
      </c>
      <c r="AI27" s="172">
        <f t="shared" si="8"/>
        <v>11.015000000000001</v>
      </c>
      <c r="AJ27" s="199">
        <f t="shared" si="6"/>
        <v>34142.004999999997</v>
      </c>
    </row>
    <row r="28" spans="1:36" x14ac:dyDescent="0.25">
      <c r="A28" s="163">
        <v>45861</v>
      </c>
      <c r="B28" s="175">
        <v>200</v>
      </c>
      <c r="C28" s="176">
        <v>210</v>
      </c>
      <c r="D28" s="176">
        <v>205</v>
      </c>
      <c r="E28" s="176"/>
      <c r="F28" s="165">
        <v>410</v>
      </c>
      <c r="G28" s="176"/>
      <c r="H28" s="165">
        <f t="shared" si="0"/>
        <v>370</v>
      </c>
      <c r="I28" s="177">
        <v>28910.477899999994</v>
      </c>
      <c r="J28" s="181">
        <f t="shared" si="1"/>
        <v>78.136426756756748</v>
      </c>
      <c r="K28" s="175">
        <v>47</v>
      </c>
      <c r="L28" s="177">
        <v>2116.4900000000002</v>
      </c>
      <c r="M28" s="178">
        <f t="shared" si="2"/>
        <v>45.031702127659578</v>
      </c>
      <c r="N28" s="164">
        <v>25</v>
      </c>
      <c r="O28" s="177">
        <v>1688.2</v>
      </c>
      <c r="P28" s="178">
        <f t="shared" si="3"/>
        <v>67.528000000000006</v>
      </c>
      <c r="Q28" s="164">
        <v>75</v>
      </c>
      <c r="R28" s="177">
        <v>3722.9100000000003</v>
      </c>
      <c r="S28" s="178">
        <f t="shared" si="4"/>
        <v>49.638800000000003</v>
      </c>
      <c r="T28" s="175"/>
      <c r="U28" s="176">
        <v>43</v>
      </c>
      <c r="V28" s="177">
        <v>871.34999999999991</v>
      </c>
      <c r="W28" s="177">
        <f t="shared" si="7"/>
        <v>20.263953488372092</v>
      </c>
      <c r="X28" s="176">
        <v>124</v>
      </c>
      <c r="Y28" s="177">
        <v>601.23</v>
      </c>
      <c r="Z28" s="197">
        <f t="shared" si="5"/>
        <v>4.8486290322580645</v>
      </c>
      <c r="AA28" s="175"/>
      <c r="AB28" s="176"/>
      <c r="AC28" s="176"/>
      <c r="AD28" s="176"/>
      <c r="AE28" s="176"/>
      <c r="AF28" s="179"/>
      <c r="AG28" s="198">
        <v>100</v>
      </c>
      <c r="AH28" s="104">
        <v>1148</v>
      </c>
      <c r="AI28" s="172">
        <f t="shared" si="8"/>
        <v>11.48</v>
      </c>
      <c r="AJ28" s="199">
        <f t="shared" si="6"/>
        <v>39058.657899999998</v>
      </c>
    </row>
    <row r="29" spans="1:36" x14ac:dyDescent="0.25">
      <c r="A29" s="163">
        <v>45862</v>
      </c>
      <c r="B29" s="175">
        <v>200</v>
      </c>
      <c r="C29" s="176">
        <v>210</v>
      </c>
      <c r="D29" s="176">
        <v>205</v>
      </c>
      <c r="E29" s="176">
        <v>2</v>
      </c>
      <c r="F29" s="165">
        <v>410</v>
      </c>
      <c r="G29" s="176"/>
      <c r="H29" s="165">
        <f t="shared" si="0"/>
        <v>370.8</v>
      </c>
      <c r="I29" s="177">
        <v>28796.689999999995</v>
      </c>
      <c r="J29" s="181">
        <f t="shared" si="1"/>
        <v>77.660976267529648</v>
      </c>
      <c r="K29" s="175">
        <v>57</v>
      </c>
      <c r="L29" s="177">
        <v>2049.0300000000002</v>
      </c>
      <c r="M29" s="178">
        <f t="shared" si="2"/>
        <v>35.947894736842109</v>
      </c>
      <c r="N29" s="164">
        <v>25</v>
      </c>
      <c r="O29" s="177">
        <v>1449.42</v>
      </c>
      <c r="P29" s="178">
        <f t="shared" si="3"/>
        <v>57.976800000000004</v>
      </c>
      <c r="Q29" s="164">
        <v>75</v>
      </c>
      <c r="R29" s="177">
        <v>3856.2</v>
      </c>
      <c r="S29" s="178">
        <f t="shared" si="4"/>
        <v>51.415999999999997</v>
      </c>
      <c r="T29" s="175"/>
      <c r="U29" s="176">
        <v>43</v>
      </c>
      <c r="V29" s="177">
        <v>858.44999999999993</v>
      </c>
      <c r="W29" s="177">
        <f t="shared" si="7"/>
        <v>19.963953488372091</v>
      </c>
      <c r="X29" s="176">
        <v>124</v>
      </c>
      <c r="Y29" s="177">
        <v>598.73</v>
      </c>
      <c r="Z29" s="197">
        <f t="shared" si="5"/>
        <v>4.8284677419354844</v>
      </c>
      <c r="AA29" s="175"/>
      <c r="AB29" s="176"/>
      <c r="AC29" s="176"/>
      <c r="AD29" s="176"/>
      <c r="AE29" s="176"/>
      <c r="AF29" s="179"/>
      <c r="AG29" s="198">
        <v>100</v>
      </c>
      <c r="AH29" s="104">
        <v>1170.5999999999999</v>
      </c>
      <c r="AI29" s="172">
        <f t="shared" si="8"/>
        <v>11.706</v>
      </c>
      <c r="AJ29" s="199">
        <f t="shared" si="6"/>
        <v>38779.119999999988</v>
      </c>
    </row>
    <row r="30" spans="1:36" x14ac:dyDescent="0.25">
      <c r="A30" s="163">
        <v>45863</v>
      </c>
      <c r="B30" s="175">
        <v>88</v>
      </c>
      <c r="C30" s="176">
        <v>95</v>
      </c>
      <c r="D30" s="176">
        <v>107</v>
      </c>
      <c r="E30" s="176"/>
      <c r="F30" s="165">
        <v>400</v>
      </c>
      <c r="G30" s="176"/>
      <c r="H30" s="165">
        <f t="shared" si="0"/>
        <v>258.40000000000003</v>
      </c>
      <c r="I30" s="177">
        <v>15342.434150000001</v>
      </c>
      <c r="J30" s="181">
        <f t="shared" si="1"/>
        <v>59.374745162538694</v>
      </c>
      <c r="K30" s="175">
        <v>49</v>
      </c>
      <c r="L30" s="177">
        <v>2168.3000000000002</v>
      </c>
      <c r="M30" s="178">
        <f t="shared" si="2"/>
        <v>44.251020408163271</v>
      </c>
      <c r="N30" s="164">
        <v>25</v>
      </c>
      <c r="O30" s="177">
        <v>1361.22</v>
      </c>
      <c r="P30" s="178">
        <f t="shared" si="3"/>
        <v>54.448799999999999</v>
      </c>
      <c r="Q30" s="164">
        <v>75</v>
      </c>
      <c r="R30" s="177">
        <v>3407.8</v>
      </c>
      <c r="S30" s="178">
        <f t="shared" si="4"/>
        <v>45.437333333333335</v>
      </c>
      <c r="T30" s="175"/>
      <c r="U30" s="176">
        <v>28</v>
      </c>
      <c r="V30" s="177">
        <v>388.24</v>
      </c>
      <c r="W30" s="177">
        <f t="shared" si="7"/>
        <v>13.865714285714287</v>
      </c>
      <c r="X30" s="176">
        <v>11</v>
      </c>
      <c r="Y30" s="177">
        <v>75.400000000000006</v>
      </c>
      <c r="Z30" s="197">
        <f t="shared" si="5"/>
        <v>6.8545454545454554</v>
      </c>
      <c r="AA30" s="175"/>
      <c r="AB30" s="176"/>
      <c r="AC30" s="176"/>
      <c r="AD30" s="176"/>
      <c r="AE30" s="176"/>
      <c r="AF30" s="179"/>
      <c r="AG30" s="198">
        <v>100</v>
      </c>
      <c r="AH30" s="104">
        <v>1116.9000000000001</v>
      </c>
      <c r="AI30" s="172">
        <f t="shared" si="8"/>
        <v>11.169</v>
      </c>
      <c r="AJ30" s="199">
        <f t="shared" si="6"/>
        <v>23860.294150000005</v>
      </c>
    </row>
    <row r="31" spans="1:36" x14ac:dyDescent="0.25">
      <c r="A31" s="163">
        <v>45864</v>
      </c>
      <c r="B31" s="175">
        <v>85</v>
      </c>
      <c r="C31" s="176">
        <v>95</v>
      </c>
      <c r="D31" s="176">
        <v>92</v>
      </c>
      <c r="E31" s="176"/>
      <c r="F31" s="165">
        <v>400</v>
      </c>
      <c r="G31" s="176"/>
      <c r="H31" s="165">
        <f t="shared" si="0"/>
        <v>251.8</v>
      </c>
      <c r="I31" s="177">
        <v>15403.96</v>
      </c>
      <c r="J31" s="181">
        <f t="shared" si="1"/>
        <v>61.175377283558376</v>
      </c>
      <c r="K31" s="175">
        <v>48</v>
      </c>
      <c r="L31" s="177">
        <v>2208.15</v>
      </c>
      <c r="M31" s="178">
        <f t="shared" si="2"/>
        <v>46.003125000000004</v>
      </c>
      <c r="N31" s="164">
        <v>25</v>
      </c>
      <c r="O31" s="177">
        <v>1417.1599999999999</v>
      </c>
      <c r="P31" s="178">
        <f t="shared" si="3"/>
        <v>56.686399999999992</v>
      </c>
      <c r="Q31" s="164">
        <v>75</v>
      </c>
      <c r="R31" s="177">
        <v>4147.4999999999991</v>
      </c>
      <c r="S31" s="178">
        <f t="shared" si="4"/>
        <v>55.29999999999999</v>
      </c>
      <c r="T31" s="175"/>
      <c r="U31" s="176">
        <v>28</v>
      </c>
      <c r="V31" s="176">
        <v>381.25</v>
      </c>
      <c r="W31" s="177">
        <f t="shared" si="7"/>
        <v>13.616071428571429</v>
      </c>
      <c r="X31" s="176">
        <v>11</v>
      </c>
      <c r="Y31" s="177">
        <v>67.56</v>
      </c>
      <c r="Z31" s="197">
        <f t="shared" si="5"/>
        <v>6.1418181818181816</v>
      </c>
      <c r="AA31" s="175"/>
      <c r="AB31" s="176"/>
      <c r="AC31" s="176"/>
      <c r="AD31" s="176"/>
      <c r="AE31" s="176"/>
      <c r="AF31" s="179"/>
      <c r="AG31" s="198">
        <v>100</v>
      </c>
      <c r="AH31" s="104">
        <v>1044.4550000000002</v>
      </c>
      <c r="AI31" s="172">
        <f t="shared" si="8"/>
        <v>10.444550000000001</v>
      </c>
      <c r="AJ31" s="199">
        <f t="shared" si="6"/>
        <v>24670.035000000003</v>
      </c>
    </row>
    <row r="32" spans="1:36" x14ac:dyDescent="0.25">
      <c r="A32" s="163">
        <v>45865</v>
      </c>
      <c r="B32" s="175">
        <v>200</v>
      </c>
      <c r="C32" s="176">
        <v>210</v>
      </c>
      <c r="D32" s="176">
        <v>237</v>
      </c>
      <c r="E32" s="176"/>
      <c r="F32" s="165">
        <v>410</v>
      </c>
      <c r="G32" s="176"/>
      <c r="H32" s="165">
        <f>B32*0.2+SUM(C32:F32)*0.4</f>
        <v>382.8</v>
      </c>
      <c r="I32" s="177">
        <v>27922.073999999997</v>
      </c>
      <c r="J32" s="181">
        <f t="shared" si="1"/>
        <v>72.941677115987446</v>
      </c>
      <c r="K32" s="175">
        <v>41</v>
      </c>
      <c r="L32" s="177">
        <v>2000.3516</v>
      </c>
      <c r="M32" s="178">
        <f t="shared" si="2"/>
        <v>48.789063414634143</v>
      </c>
      <c r="N32" s="164">
        <v>25</v>
      </c>
      <c r="O32" s="177">
        <v>1725.1599999999999</v>
      </c>
      <c r="P32" s="178">
        <f t="shared" si="3"/>
        <v>69.006399999999999</v>
      </c>
      <c r="Q32" s="164">
        <v>75</v>
      </c>
      <c r="R32" s="177">
        <v>4219.2</v>
      </c>
      <c r="S32" s="178">
        <f t="shared" si="4"/>
        <v>56.256</v>
      </c>
      <c r="T32" s="175"/>
      <c r="U32" s="176">
        <v>164</v>
      </c>
      <c r="V32" s="177">
        <v>2283.1799999999998</v>
      </c>
      <c r="W32" s="177">
        <f t="shared" si="7"/>
        <v>13.921829268292681</v>
      </c>
      <c r="X32" s="176">
        <v>138</v>
      </c>
      <c r="Y32" s="177">
        <v>961.59000000000015</v>
      </c>
      <c r="Z32" s="197">
        <f t="shared" si="5"/>
        <v>6.9680434782608707</v>
      </c>
      <c r="AA32" s="175"/>
      <c r="AB32" s="176"/>
      <c r="AC32" s="176"/>
      <c r="AD32" s="176"/>
      <c r="AE32" s="176"/>
      <c r="AF32" s="179"/>
      <c r="AG32" s="198">
        <v>100</v>
      </c>
      <c r="AH32" s="104">
        <v>1134.3900000000001</v>
      </c>
      <c r="AI32" s="172">
        <f t="shared" si="8"/>
        <v>11.343900000000001</v>
      </c>
      <c r="AJ32" s="199">
        <f t="shared" si="6"/>
        <v>40245.945599999992</v>
      </c>
    </row>
    <row r="33" spans="1:36" x14ac:dyDescent="0.25">
      <c r="A33" s="163">
        <v>45866</v>
      </c>
      <c r="B33" s="175">
        <v>200</v>
      </c>
      <c r="C33" s="176">
        <v>210</v>
      </c>
      <c r="D33" s="176">
        <v>231</v>
      </c>
      <c r="E33" s="176"/>
      <c r="F33" s="165">
        <v>412</v>
      </c>
      <c r="G33" s="185"/>
      <c r="H33" s="165">
        <f>B33*0.2+SUM(C33:F33)*0.4</f>
        <v>381.20000000000005</v>
      </c>
      <c r="I33" s="187">
        <v>27548.184999999998</v>
      </c>
      <c r="J33" s="181">
        <f t="shared" si="1"/>
        <v>72.26701206715633</v>
      </c>
      <c r="K33" s="175">
        <v>48</v>
      </c>
      <c r="L33" s="187">
        <v>2319.65</v>
      </c>
      <c r="M33" s="178">
        <f t="shared" si="2"/>
        <v>48.326041666666669</v>
      </c>
      <c r="N33" s="164">
        <v>25</v>
      </c>
      <c r="O33" s="187">
        <v>1530.54</v>
      </c>
      <c r="P33" s="178">
        <f t="shared" si="3"/>
        <v>61.221599999999995</v>
      </c>
      <c r="Q33" s="164">
        <v>75</v>
      </c>
      <c r="R33" s="187">
        <v>3443.2999999999997</v>
      </c>
      <c r="S33" s="178">
        <f t="shared" si="4"/>
        <v>45.910666666666664</v>
      </c>
      <c r="T33" s="184"/>
      <c r="U33" s="185">
        <v>35</v>
      </c>
      <c r="V33" s="187">
        <v>491.04999999999995</v>
      </c>
      <c r="W33" s="177">
        <f t="shared" si="7"/>
        <v>14.03</v>
      </c>
      <c r="X33" s="185">
        <v>124</v>
      </c>
      <c r="Y33" s="187">
        <v>893.64</v>
      </c>
      <c r="Z33" s="197">
        <f t="shared" si="5"/>
        <v>7.2067741935483873</v>
      </c>
      <c r="AA33" s="184"/>
      <c r="AB33" s="185"/>
      <c r="AC33" s="185"/>
      <c r="AD33" s="185"/>
      <c r="AE33" s="185"/>
      <c r="AF33" s="188"/>
      <c r="AG33" s="198">
        <v>100</v>
      </c>
      <c r="AH33" s="190">
        <v>1218.1999999999998</v>
      </c>
      <c r="AI33" s="172">
        <f t="shared" si="8"/>
        <v>12.181999999999999</v>
      </c>
      <c r="AJ33" s="199">
        <f t="shared" si="6"/>
        <v>37444.565000000002</v>
      </c>
    </row>
    <row r="34" spans="1:36" x14ac:dyDescent="0.25">
      <c r="A34" s="163">
        <v>45867</v>
      </c>
      <c r="B34" s="175">
        <v>200</v>
      </c>
      <c r="C34" s="176">
        <v>210</v>
      </c>
      <c r="D34" s="185">
        <v>225</v>
      </c>
      <c r="E34" s="176"/>
      <c r="F34" s="165">
        <v>412</v>
      </c>
      <c r="G34" s="185"/>
      <c r="H34" s="165">
        <f>B34*0.2+SUM(C34:F34)*0.4</f>
        <v>378.8</v>
      </c>
      <c r="I34" s="187">
        <v>27754.370000000003</v>
      </c>
      <c r="J34" s="181">
        <f t="shared" si="1"/>
        <v>73.269192185850059</v>
      </c>
      <c r="K34" s="175">
        <v>48</v>
      </c>
      <c r="L34" s="187">
        <v>2455.6</v>
      </c>
      <c r="M34" s="178">
        <f t="shared" si="2"/>
        <v>51.158333333333331</v>
      </c>
      <c r="N34" s="164">
        <v>25</v>
      </c>
      <c r="O34" s="187">
        <v>1408.05</v>
      </c>
      <c r="P34" s="178">
        <f t="shared" si="3"/>
        <v>56.321999999999996</v>
      </c>
      <c r="Q34" s="164">
        <v>75</v>
      </c>
      <c r="R34" s="187">
        <v>3243.8500000000004</v>
      </c>
      <c r="S34" s="178">
        <f t="shared" si="4"/>
        <v>43.251333333333335</v>
      </c>
      <c r="T34" s="184"/>
      <c r="U34" s="185">
        <v>35</v>
      </c>
      <c r="V34" s="187">
        <v>484.17</v>
      </c>
      <c r="W34" s="177">
        <f t="shared" si="7"/>
        <v>13.833428571428572</v>
      </c>
      <c r="X34" s="185">
        <v>125</v>
      </c>
      <c r="Y34" s="187">
        <v>869.55</v>
      </c>
      <c r="Z34" s="197">
        <f t="shared" si="5"/>
        <v>6.9563999999999995</v>
      </c>
      <c r="AA34" s="184"/>
      <c r="AB34" s="185"/>
      <c r="AC34" s="185"/>
      <c r="AD34" s="185"/>
      <c r="AE34" s="185"/>
      <c r="AF34" s="188"/>
      <c r="AG34" s="198">
        <v>100</v>
      </c>
      <c r="AH34" s="190">
        <v>1117.0242000000001</v>
      </c>
      <c r="AI34" s="172">
        <f t="shared" si="8"/>
        <v>11.170242</v>
      </c>
      <c r="AJ34" s="199">
        <f t="shared" si="6"/>
        <v>37332.614200000004</v>
      </c>
    </row>
    <row r="35" spans="1:36" x14ac:dyDescent="0.25">
      <c r="A35" s="163">
        <v>45868</v>
      </c>
      <c r="B35" s="175">
        <v>200</v>
      </c>
      <c r="C35" s="176">
        <v>210</v>
      </c>
      <c r="D35" s="185">
        <v>205</v>
      </c>
      <c r="E35" s="176"/>
      <c r="F35" s="165">
        <v>412</v>
      </c>
      <c r="G35" s="185"/>
      <c r="H35" s="165">
        <f>B35*0.2+SUM(C35:F35)*0.4</f>
        <v>370.8</v>
      </c>
      <c r="I35" s="187">
        <v>30374.804999999997</v>
      </c>
      <c r="J35" s="181">
        <f t="shared" si="1"/>
        <v>81.916949838187691</v>
      </c>
      <c r="K35" s="184">
        <v>48</v>
      </c>
      <c r="L35" s="187">
        <v>2200</v>
      </c>
      <c r="M35" s="178">
        <f t="shared" si="2"/>
        <v>45.833333333333336</v>
      </c>
      <c r="N35" s="164">
        <v>25</v>
      </c>
      <c r="O35" s="187">
        <v>563.16000000000008</v>
      </c>
      <c r="P35" s="178">
        <f t="shared" si="3"/>
        <v>22.526400000000002</v>
      </c>
      <c r="Q35" s="164">
        <v>75</v>
      </c>
      <c r="R35" s="187">
        <v>3099.6</v>
      </c>
      <c r="S35" s="178">
        <f t="shared" si="4"/>
        <v>41.327999999999996</v>
      </c>
      <c r="T35" s="184"/>
      <c r="U35" s="185">
        <v>35</v>
      </c>
      <c r="V35" s="187">
        <v>441</v>
      </c>
      <c r="W35" s="177">
        <f t="shared" si="7"/>
        <v>12.6</v>
      </c>
      <c r="X35" s="185">
        <v>125</v>
      </c>
      <c r="Y35" s="187">
        <v>836.09999999999991</v>
      </c>
      <c r="Z35" s="197">
        <f t="shared" si="5"/>
        <v>6.6887999999999996</v>
      </c>
      <c r="AA35" s="184"/>
      <c r="AB35" s="185"/>
      <c r="AC35" s="185"/>
      <c r="AD35" s="185"/>
      <c r="AE35" s="185"/>
      <c r="AF35" s="188"/>
      <c r="AG35" s="198">
        <v>100</v>
      </c>
      <c r="AH35" s="190">
        <v>1161.3100000000002</v>
      </c>
      <c r="AI35" s="172">
        <f t="shared" si="8"/>
        <v>11.613100000000001</v>
      </c>
      <c r="AJ35" s="199">
        <f t="shared" si="6"/>
        <v>38675.974999999991</v>
      </c>
    </row>
    <row r="36" spans="1:36" ht="15.75" thickBot="1" x14ac:dyDescent="0.3">
      <c r="A36" s="163">
        <v>45869</v>
      </c>
      <c r="B36" s="175">
        <v>200</v>
      </c>
      <c r="C36" s="176">
        <v>210</v>
      </c>
      <c r="D36" s="185">
        <v>205</v>
      </c>
      <c r="E36" s="185"/>
      <c r="F36" s="165">
        <v>412</v>
      </c>
      <c r="G36" s="185"/>
      <c r="H36" s="165">
        <f>B36*0.2+SUM(C36:F36)*0.4</f>
        <v>370.8</v>
      </c>
      <c r="I36" s="187">
        <v>34570.145000000004</v>
      </c>
      <c r="J36" s="181">
        <f t="shared" si="1"/>
        <v>93.231243257820935</v>
      </c>
      <c r="K36" s="184">
        <v>48</v>
      </c>
      <c r="L36" s="187">
        <v>3177.7900000000004</v>
      </c>
      <c r="M36" s="178">
        <f t="shared" si="2"/>
        <v>66.203958333333347</v>
      </c>
      <c r="N36" s="164">
        <v>25</v>
      </c>
      <c r="O36" s="187">
        <v>570.66000000000008</v>
      </c>
      <c r="P36" s="178">
        <f t="shared" si="3"/>
        <v>22.826400000000003</v>
      </c>
      <c r="Q36" s="164">
        <v>75</v>
      </c>
      <c r="R36" s="187">
        <v>3266.364</v>
      </c>
      <c r="S36" s="178">
        <f t="shared" si="4"/>
        <v>43.551520000000004</v>
      </c>
      <c r="T36" s="184"/>
      <c r="U36" s="185">
        <v>35</v>
      </c>
      <c r="V36" s="187">
        <v>490.98</v>
      </c>
      <c r="W36" s="177">
        <f t="shared" si="7"/>
        <v>14.028</v>
      </c>
      <c r="X36" s="185">
        <v>125</v>
      </c>
      <c r="Y36" s="187">
        <v>869.62</v>
      </c>
      <c r="Z36" s="197">
        <f t="shared" si="5"/>
        <v>6.9569600000000005</v>
      </c>
      <c r="AA36" s="184"/>
      <c r="AB36" s="185"/>
      <c r="AC36" s="185"/>
      <c r="AD36" s="185"/>
      <c r="AE36" s="185"/>
      <c r="AF36" s="188"/>
      <c r="AG36" s="198">
        <v>100</v>
      </c>
      <c r="AH36" s="190">
        <v>1185.3</v>
      </c>
      <c r="AI36" s="172">
        <f t="shared" si="8"/>
        <v>11.853</v>
      </c>
      <c r="AJ36" s="199">
        <f t="shared" si="6"/>
        <v>44130.859000000019</v>
      </c>
    </row>
    <row r="37" spans="1:36" ht="26.25" thickBot="1" x14ac:dyDescent="0.3">
      <c r="A37" s="202" t="s">
        <v>77</v>
      </c>
      <c r="B37" s="195">
        <f t="shared" ref="B37:I37" si="9">SUM(B6:B36)</f>
        <v>5301</v>
      </c>
      <c r="C37" s="195">
        <f t="shared" si="9"/>
        <v>5602</v>
      </c>
      <c r="D37" s="195">
        <f t="shared" si="9"/>
        <v>5877</v>
      </c>
      <c r="E37" s="195">
        <f t="shared" si="9"/>
        <v>9</v>
      </c>
      <c r="F37" s="195">
        <f t="shared" si="9"/>
        <v>12543</v>
      </c>
      <c r="G37" s="195">
        <f t="shared" si="9"/>
        <v>350</v>
      </c>
      <c r="H37" s="195">
        <f t="shared" si="9"/>
        <v>10728.599999999999</v>
      </c>
      <c r="I37" s="195">
        <f t="shared" si="9"/>
        <v>735785.73454999994</v>
      </c>
      <c r="J37" s="195">
        <f>I37/H37</f>
        <v>68.581710060026481</v>
      </c>
      <c r="K37" s="195">
        <f>SUM(K6:K36)</f>
        <v>1460</v>
      </c>
      <c r="L37" s="195">
        <f>SUM(L6:L36)</f>
        <v>79001.432599999971</v>
      </c>
      <c r="M37" s="195">
        <f>L37/K37</f>
        <v>54.110570273972584</v>
      </c>
      <c r="N37" s="195">
        <f>SUM(N6:N36)</f>
        <v>775</v>
      </c>
      <c r="O37" s="195">
        <f>SUM(O6:O36)</f>
        <v>45989.120000000017</v>
      </c>
      <c r="P37" s="195">
        <f>O37/N37</f>
        <v>59.340800000000023</v>
      </c>
      <c r="Q37" s="195">
        <f>SUM(Q6:Q36)</f>
        <v>2325</v>
      </c>
      <c r="R37" s="195">
        <f>SUM(R6:R36)</f>
        <v>115398.82400000002</v>
      </c>
      <c r="S37" s="195">
        <f>R37/Q37</f>
        <v>49.633902795698937</v>
      </c>
      <c r="T37" s="195">
        <f>SUM(T6:T36)</f>
        <v>0</v>
      </c>
      <c r="U37" s="195">
        <f>SUM(U6:U36)</f>
        <v>1534</v>
      </c>
      <c r="V37" s="195">
        <f>SUM(V6:V36)</f>
        <v>21304.58</v>
      </c>
      <c r="W37" s="195"/>
      <c r="X37" s="195">
        <f t="shared" ref="X37:AH37" si="10">SUM(X6:X36)</f>
        <v>3108</v>
      </c>
      <c r="Y37" s="195">
        <f t="shared" si="10"/>
        <v>20763.809999999998</v>
      </c>
      <c r="Z37" s="195">
        <f t="shared" si="10"/>
        <v>209.54976827248743</v>
      </c>
      <c r="AA37" s="195">
        <f t="shared" si="10"/>
        <v>0</v>
      </c>
      <c r="AB37" s="195">
        <f t="shared" si="10"/>
        <v>0</v>
      </c>
      <c r="AC37" s="195">
        <f t="shared" si="10"/>
        <v>0</v>
      </c>
      <c r="AD37" s="195">
        <f t="shared" si="10"/>
        <v>0</v>
      </c>
      <c r="AE37" s="195">
        <f t="shared" si="10"/>
        <v>0</v>
      </c>
      <c r="AF37" s="195" t="e">
        <f t="shared" si="10"/>
        <v>#DIV/0!</v>
      </c>
      <c r="AG37" s="195">
        <f t="shared" si="10"/>
        <v>3116</v>
      </c>
      <c r="AH37" s="195">
        <f t="shared" si="10"/>
        <v>36121.251200000006</v>
      </c>
      <c r="AI37" s="195">
        <f>AH37/AG37</f>
        <v>11.592185879332479</v>
      </c>
      <c r="AJ37" s="203">
        <f>SUM(AJ6:AJ36)</f>
        <v>1054364.75235</v>
      </c>
    </row>
  </sheetData>
  <sheetProtection algorithmName="SHA-512" hashValue="v46yilZymZW/F7cRz7Sh4kThEkMk3swBA0POb31gUdhW+NV7mX9WuEUvHFLATU68oQLfPdJyUBKNwySpI2RDdg==" saltValue="YC8tUQ9XqZahmPHF0HLF+A==" spinCount="100000" sheet="1" scenarios="1" sort="0" autoFilter="0"/>
  <mergeCells count="10">
    <mergeCell ref="A1:AJ1"/>
    <mergeCell ref="A2:AJ2"/>
    <mergeCell ref="A3:AJ3"/>
    <mergeCell ref="B4:J4"/>
    <mergeCell ref="K4:M4"/>
    <mergeCell ref="N4:P4"/>
    <mergeCell ref="Q4:S4"/>
    <mergeCell ref="T4:Z4"/>
    <mergeCell ref="AA4:AF4"/>
    <mergeCell ref="AG4:A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F771-07AF-4A2A-89BC-935E99157B0A}">
  <dimension ref="A1:AJ37"/>
  <sheetViews>
    <sheetView zoomScale="80" zoomScaleNormal="80" workbookViewId="0">
      <selection activeCell="T37" sqref="T37"/>
    </sheetView>
  </sheetViews>
  <sheetFormatPr defaultRowHeight="15" x14ac:dyDescent="0.25"/>
  <cols>
    <col min="1" max="1" width="11.5703125" bestFit="1" customWidth="1"/>
    <col min="2" max="5" width="10" bestFit="1" customWidth="1"/>
    <col min="6" max="6" width="11.28515625" bestFit="1" customWidth="1"/>
    <col min="7" max="7" width="10.140625" bestFit="1" customWidth="1"/>
    <col min="8" max="8" width="11.28515625" bestFit="1" customWidth="1"/>
    <col min="9" max="9" width="13" bestFit="1" customWidth="1"/>
    <col min="10" max="11" width="10.7109375" customWidth="1"/>
    <col min="12" max="12" width="11.28515625" bestFit="1" customWidth="1"/>
    <col min="13" max="13" width="13" bestFit="1" customWidth="1"/>
    <col min="14" max="14" width="10.7109375" customWidth="1"/>
    <col min="15" max="15" width="11.28515625" bestFit="1" customWidth="1"/>
    <col min="16" max="16" width="13" bestFit="1" customWidth="1"/>
    <col min="17" max="17" width="10.7109375" customWidth="1"/>
    <col min="18" max="18" width="13.28515625" bestFit="1" customWidth="1"/>
    <col min="19" max="19" width="10.7109375" customWidth="1"/>
    <col min="20" max="20" width="9.5703125" customWidth="1"/>
    <col min="21" max="21" width="10.140625" bestFit="1" customWidth="1"/>
    <col min="22" max="22" width="11.42578125" customWidth="1"/>
    <col min="23" max="23" width="8.42578125" bestFit="1" customWidth="1"/>
    <col min="24" max="24" width="10" bestFit="1" customWidth="1"/>
    <col min="25" max="25" width="12" bestFit="1" customWidth="1"/>
    <col min="26" max="26" width="8.42578125" style="39" bestFit="1" customWidth="1"/>
    <col min="27" max="27" width="2.5703125" hidden="1" customWidth="1"/>
    <col min="28" max="31" width="9.140625" hidden="1" customWidth="1"/>
    <col min="32" max="32" width="11.5703125" hidden="1" customWidth="1"/>
    <col min="33" max="33" width="13.5703125" style="2" bestFit="1" customWidth="1"/>
    <col min="34" max="34" width="11.28515625" customWidth="1"/>
    <col min="36" max="36" width="13.85546875" style="2" bestFit="1" customWidth="1"/>
  </cols>
  <sheetData>
    <row r="1" spans="1:36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36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36" ht="21.75" thickBot="1" x14ac:dyDescent="0.4">
      <c r="A3" s="308" t="s">
        <v>84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36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63</v>
      </c>
      <c r="O4" s="315"/>
      <c r="P4" s="318"/>
      <c r="Q4" s="314" t="s">
        <v>64</v>
      </c>
      <c r="R4" s="315"/>
      <c r="S4" s="318"/>
      <c r="T4" s="314" t="s">
        <v>65</v>
      </c>
      <c r="U4" s="315"/>
      <c r="V4" s="315"/>
      <c r="W4" s="315"/>
      <c r="X4" s="315"/>
      <c r="Y4" s="315"/>
      <c r="Z4" s="318"/>
      <c r="AA4" s="378" t="s">
        <v>66</v>
      </c>
      <c r="AB4" s="379"/>
      <c r="AC4" s="379"/>
      <c r="AD4" s="379"/>
      <c r="AE4" s="379"/>
      <c r="AF4" s="380"/>
      <c r="AG4" s="320" t="s">
        <v>67</v>
      </c>
      <c r="AH4" s="321"/>
      <c r="AI4" s="322"/>
      <c r="AJ4" s="144" t="s">
        <v>68</v>
      </c>
    </row>
    <row r="5" spans="1:36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48" t="s">
        <v>69</v>
      </c>
      <c r="O5" s="149" t="s">
        <v>0</v>
      </c>
      <c r="P5" s="150" t="s">
        <v>70</v>
      </c>
      <c r="Q5" s="148" t="s">
        <v>69</v>
      </c>
      <c r="R5" s="149" t="s">
        <v>0</v>
      </c>
      <c r="S5" s="150" t="s">
        <v>70</v>
      </c>
      <c r="T5" s="151" t="s">
        <v>71</v>
      </c>
      <c r="U5" s="152" t="s">
        <v>72</v>
      </c>
      <c r="V5" s="152" t="s">
        <v>73</v>
      </c>
      <c r="W5" s="152" t="s">
        <v>79</v>
      </c>
      <c r="X5" s="153" t="s">
        <v>21</v>
      </c>
      <c r="Y5" s="153" t="s">
        <v>74</v>
      </c>
      <c r="Z5" s="154" t="s">
        <v>16</v>
      </c>
      <c r="AA5" s="155" t="s">
        <v>2</v>
      </c>
      <c r="AB5" s="156" t="s">
        <v>3</v>
      </c>
      <c r="AC5" s="156" t="s">
        <v>4</v>
      </c>
      <c r="AD5" s="157" t="s">
        <v>69</v>
      </c>
      <c r="AE5" s="158" t="s">
        <v>0</v>
      </c>
      <c r="AF5" s="159" t="s">
        <v>70</v>
      </c>
      <c r="AG5" s="160" t="s">
        <v>75</v>
      </c>
      <c r="AH5" s="161" t="s">
        <v>30</v>
      </c>
      <c r="AI5" s="162" t="s">
        <v>76</v>
      </c>
      <c r="AJ5" s="144" t="s">
        <v>68</v>
      </c>
    </row>
    <row r="6" spans="1:36" x14ac:dyDescent="0.25">
      <c r="A6" s="163">
        <v>45870</v>
      </c>
      <c r="B6" s="164">
        <v>85</v>
      </c>
      <c r="C6" s="165">
        <v>95</v>
      </c>
      <c r="D6" s="165">
        <v>85</v>
      </c>
      <c r="E6" s="165"/>
      <c r="F6" s="165">
        <v>402</v>
      </c>
      <c r="G6" s="165"/>
      <c r="H6" s="165">
        <f>B6*0.2+SUM(C6:F6)*0.4</f>
        <v>249.8</v>
      </c>
      <c r="I6" s="167">
        <v>13467.975</v>
      </c>
      <c r="J6" s="166">
        <f>I6/H6</f>
        <v>53.915032025620498</v>
      </c>
      <c r="K6" s="164">
        <v>42</v>
      </c>
      <c r="L6" s="177">
        <v>2330.63</v>
      </c>
      <c r="M6" s="168">
        <f>L6/K6</f>
        <v>55.491190476190482</v>
      </c>
      <c r="N6" s="164">
        <v>25</v>
      </c>
      <c r="O6" s="167">
        <v>1549.26</v>
      </c>
      <c r="P6" s="168">
        <f>O6/N6</f>
        <v>61.970399999999998</v>
      </c>
      <c r="Q6" s="164">
        <v>75</v>
      </c>
      <c r="R6" s="167">
        <v>4205.6000000000004</v>
      </c>
      <c r="S6" s="168">
        <f>R6/Q6</f>
        <v>56.074666666666673</v>
      </c>
      <c r="T6" s="164"/>
      <c r="U6" s="165">
        <v>28</v>
      </c>
      <c r="V6" s="165">
        <v>392.49</v>
      </c>
      <c r="W6" s="177">
        <f>V6/U6</f>
        <v>14.0175</v>
      </c>
      <c r="X6" s="165">
        <v>11</v>
      </c>
      <c r="Y6" s="167">
        <v>74.7</v>
      </c>
      <c r="Z6" s="197">
        <f>Y6/X6</f>
        <v>6.790909090909091</v>
      </c>
      <c r="AA6" s="164"/>
      <c r="AB6" s="165"/>
      <c r="AC6" s="165"/>
      <c r="AD6" s="165"/>
      <c r="AE6" s="165"/>
      <c r="AF6" s="169" t="e">
        <f>AE6/AD6</f>
        <v>#DIV/0!</v>
      </c>
      <c r="AG6" s="198">
        <v>100</v>
      </c>
      <c r="AH6" s="171">
        <v>1170.5</v>
      </c>
      <c r="AI6" s="172">
        <f>AH6/AG6</f>
        <v>11.705</v>
      </c>
      <c r="AJ6" s="199">
        <f>I6+L6+O6+R6+V6+Y6+AH6</f>
        <v>23191.154999999999</v>
      </c>
    </row>
    <row r="7" spans="1:36" x14ac:dyDescent="0.25">
      <c r="A7" s="163">
        <v>45871</v>
      </c>
      <c r="B7" s="164">
        <v>85</v>
      </c>
      <c r="C7" s="165">
        <v>95</v>
      </c>
      <c r="D7" s="165">
        <v>85</v>
      </c>
      <c r="E7" s="176"/>
      <c r="F7" s="165">
        <v>402</v>
      </c>
      <c r="G7" s="176"/>
      <c r="H7" s="165">
        <f t="shared" ref="H7:H31" si="0">B7*0.2+SUM(C7:F7)*0.4</f>
        <v>249.8</v>
      </c>
      <c r="I7" s="177">
        <v>15387.050000000003</v>
      </c>
      <c r="J7" s="166">
        <f t="shared" ref="J7:J36" si="1">I7/H7</f>
        <v>61.597477982385918</v>
      </c>
      <c r="K7" s="175">
        <v>44</v>
      </c>
      <c r="L7" s="177">
        <v>2471.73</v>
      </c>
      <c r="M7" s="178">
        <f t="shared" ref="M7:M36" si="2">L7/K7</f>
        <v>56.175681818181822</v>
      </c>
      <c r="N7" s="164">
        <v>25</v>
      </c>
      <c r="O7" s="177">
        <v>1923.335</v>
      </c>
      <c r="P7" s="178">
        <f t="shared" ref="P7:P36" si="3">O7/N7</f>
        <v>76.933400000000006</v>
      </c>
      <c r="Q7" s="164">
        <v>75</v>
      </c>
      <c r="R7" s="177">
        <v>4040.0399999999995</v>
      </c>
      <c r="S7" s="178">
        <f t="shared" ref="S7:S36" si="4">R7/Q7</f>
        <v>53.867199999999997</v>
      </c>
      <c r="T7" s="175"/>
      <c r="U7" s="165">
        <v>28</v>
      </c>
      <c r="V7" s="200">
        <v>392.49</v>
      </c>
      <c r="W7" s="177">
        <f>V7/U7</f>
        <v>14.0175</v>
      </c>
      <c r="X7" s="176">
        <v>11</v>
      </c>
      <c r="Y7" s="167">
        <v>74.7</v>
      </c>
      <c r="Z7" s="197">
        <f t="shared" ref="Z7:Z36" si="5">Y7/X7</f>
        <v>6.790909090909091</v>
      </c>
      <c r="AA7" s="175"/>
      <c r="AB7" s="176"/>
      <c r="AC7" s="176"/>
      <c r="AD7" s="176"/>
      <c r="AE7" s="176"/>
      <c r="AF7" s="179"/>
      <c r="AG7" s="198">
        <v>100</v>
      </c>
      <c r="AH7" s="104">
        <v>1207.3</v>
      </c>
      <c r="AI7" s="172">
        <f>AH7/AG7</f>
        <v>12.073</v>
      </c>
      <c r="AJ7" s="199">
        <f t="shared" ref="AJ7:AJ36" si="6">I7+L7+O7+R7+V7+Y7+AH7</f>
        <v>25496.645000000004</v>
      </c>
    </row>
    <row r="8" spans="1:36" x14ac:dyDescent="0.25">
      <c r="A8" s="163">
        <v>45872</v>
      </c>
      <c r="B8" s="164">
        <v>200</v>
      </c>
      <c r="C8" s="165">
        <v>210</v>
      </c>
      <c r="D8" s="165">
        <v>215</v>
      </c>
      <c r="E8" s="176"/>
      <c r="F8" s="165">
        <v>402</v>
      </c>
      <c r="G8" s="176"/>
      <c r="H8" s="165">
        <f t="shared" si="0"/>
        <v>370.8</v>
      </c>
      <c r="I8" s="177">
        <v>30181.090000000004</v>
      </c>
      <c r="J8" s="166">
        <f t="shared" si="1"/>
        <v>81.394525350593312</v>
      </c>
      <c r="K8" s="175">
        <v>47</v>
      </c>
      <c r="L8" s="177">
        <v>2209.38</v>
      </c>
      <c r="M8" s="178">
        <f t="shared" si="2"/>
        <v>47.008085106382978</v>
      </c>
      <c r="N8" s="164">
        <v>25</v>
      </c>
      <c r="O8" s="177">
        <v>1934.0749999999998</v>
      </c>
      <c r="P8" s="178">
        <f t="shared" si="3"/>
        <v>77.363</v>
      </c>
      <c r="Q8" s="164">
        <v>75</v>
      </c>
      <c r="R8" s="177">
        <v>4161.6000000000004</v>
      </c>
      <c r="S8" s="178">
        <f t="shared" si="4"/>
        <v>55.488000000000007</v>
      </c>
      <c r="T8" s="175"/>
      <c r="U8" s="165">
        <v>171</v>
      </c>
      <c r="V8" s="177">
        <v>2286.25</v>
      </c>
      <c r="W8" s="177">
        <f>V8/U8</f>
        <v>13.369883040935672</v>
      </c>
      <c r="X8" s="176">
        <v>127</v>
      </c>
      <c r="Y8" s="167">
        <v>859.05000000000007</v>
      </c>
      <c r="Z8" s="197">
        <f t="shared" si="5"/>
        <v>6.7641732283464568</v>
      </c>
      <c r="AA8" s="175"/>
      <c r="AB8" s="176"/>
      <c r="AC8" s="176"/>
      <c r="AD8" s="176"/>
      <c r="AE8" s="176"/>
      <c r="AF8" s="179"/>
      <c r="AG8" s="198">
        <v>100</v>
      </c>
      <c r="AH8" s="104">
        <v>1042.8200000000002</v>
      </c>
      <c r="AI8" s="172">
        <f>AH8/AG8</f>
        <v>10.428200000000002</v>
      </c>
      <c r="AJ8" s="199">
        <f>I8+L8+O8+R8+V8+Y8+AH8</f>
        <v>42674.265000000007</v>
      </c>
    </row>
    <row r="9" spans="1:36" x14ac:dyDescent="0.25">
      <c r="A9" s="163">
        <v>45873</v>
      </c>
      <c r="B9" s="164">
        <v>200</v>
      </c>
      <c r="C9" s="165">
        <v>210</v>
      </c>
      <c r="D9" s="176">
        <v>252</v>
      </c>
      <c r="E9" s="176"/>
      <c r="F9" s="165">
        <v>402</v>
      </c>
      <c r="G9" s="176"/>
      <c r="H9" s="165">
        <f t="shared" si="0"/>
        <v>385.6</v>
      </c>
      <c r="I9" s="177">
        <v>23671.981300000003</v>
      </c>
      <c r="J9" s="181">
        <f t="shared" si="1"/>
        <v>61.389992997925319</v>
      </c>
      <c r="K9" s="204">
        <v>48</v>
      </c>
      <c r="L9" s="205">
        <v>2673.5</v>
      </c>
      <c r="M9" s="178">
        <f t="shared" si="2"/>
        <v>55.697916666666664</v>
      </c>
      <c r="N9" s="164">
        <v>25</v>
      </c>
      <c r="O9" s="177">
        <v>1120.32</v>
      </c>
      <c r="P9" s="178">
        <f t="shared" si="3"/>
        <v>44.812799999999996</v>
      </c>
      <c r="Q9" s="164">
        <v>75</v>
      </c>
      <c r="R9" s="177">
        <v>3609</v>
      </c>
      <c r="S9" s="178">
        <f t="shared" si="4"/>
        <v>48.12</v>
      </c>
      <c r="T9" s="175"/>
      <c r="U9" s="176">
        <v>35</v>
      </c>
      <c r="V9" s="177">
        <v>489.51</v>
      </c>
      <c r="W9" s="177">
        <f t="shared" ref="W9:W36" si="7">V9/U9</f>
        <v>13.985999999999999</v>
      </c>
      <c r="X9" s="176">
        <v>125</v>
      </c>
      <c r="Y9" s="167">
        <v>893.09999999999991</v>
      </c>
      <c r="Z9" s="197">
        <f t="shared" si="5"/>
        <v>7.1447999999999992</v>
      </c>
      <c r="AA9" s="175"/>
      <c r="AB9" s="176"/>
      <c r="AC9" s="176"/>
      <c r="AD9" s="176"/>
      <c r="AE9" s="176"/>
      <c r="AF9" s="179"/>
      <c r="AG9" s="198">
        <v>100</v>
      </c>
      <c r="AH9" s="104">
        <v>1102.6099999999999</v>
      </c>
      <c r="AI9" s="172">
        <f>AH9/AG9</f>
        <v>11.0261</v>
      </c>
      <c r="AJ9" s="199">
        <f t="shared" si="6"/>
        <v>33560.0213</v>
      </c>
    </row>
    <row r="10" spans="1:36" x14ac:dyDescent="0.25">
      <c r="A10" s="163">
        <v>45874</v>
      </c>
      <c r="B10" s="164">
        <v>200</v>
      </c>
      <c r="C10" s="165">
        <v>210</v>
      </c>
      <c r="D10" s="176">
        <v>205</v>
      </c>
      <c r="E10" s="176"/>
      <c r="F10" s="165">
        <v>411</v>
      </c>
      <c r="G10" s="176"/>
      <c r="H10" s="165">
        <f>B10*0.2+SUM(C10:F10)*0.4+G10*40%</f>
        <v>370.40000000000003</v>
      </c>
      <c r="I10" s="177">
        <v>26172.010600000001</v>
      </c>
      <c r="J10" s="181">
        <f t="shared" si="1"/>
        <v>70.658775917926562</v>
      </c>
      <c r="K10" s="175">
        <v>48</v>
      </c>
      <c r="L10" s="177">
        <v>2168</v>
      </c>
      <c r="M10" s="178">
        <f t="shared" si="2"/>
        <v>45.166666666666664</v>
      </c>
      <c r="N10" s="164">
        <v>25</v>
      </c>
      <c r="O10" s="177">
        <v>1940.67</v>
      </c>
      <c r="P10" s="178">
        <f t="shared" si="3"/>
        <v>77.626800000000003</v>
      </c>
      <c r="Q10" s="164">
        <v>75</v>
      </c>
      <c r="R10" s="177">
        <v>3354.45</v>
      </c>
      <c r="S10" s="178">
        <f t="shared" si="4"/>
        <v>44.725999999999999</v>
      </c>
      <c r="T10" s="175"/>
      <c r="U10" s="176">
        <v>35</v>
      </c>
      <c r="V10" s="177">
        <v>473.85</v>
      </c>
      <c r="W10" s="177">
        <f t="shared" si="7"/>
        <v>13.53857142857143</v>
      </c>
      <c r="X10" s="176">
        <v>125</v>
      </c>
      <c r="Y10" s="167">
        <v>859.7</v>
      </c>
      <c r="Z10" s="197">
        <f t="shared" si="5"/>
        <v>6.8776000000000002</v>
      </c>
      <c r="AA10" s="175"/>
      <c r="AB10" s="176"/>
      <c r="AC10" s="176"/>
      <c r="AD10" s="176"/>
      <c r="AE10" s="176"/>
      <c r="AF10" s="179"/>
      <c r="AG10" s="198">
        <v>100</v>
      </c>
      <c r="AH10" s="104">
        <v>1198.46</v>
      </c>
      <c r="AI10" s="172">
        <f t="shared" ref="AI10:AI36" si="8">AH10/AG10</f>
        <v>11.9846</v>
      </c>
      <c r="AJ10" s="199">
        <f t="shared" si="6"/>
        <v>36167.140599999992</v>
      </c>
    </row>
    <row r="11" spans="1:36" x14ac:dyDescent="0.25">
      <c r="A11" s="163">
        <v>45875</v>
      </c>
      <c r="B11" s="164">
        <v>200</v>
      </c>
      <c r="C11" s="165">
        <v>210</v>
      </c>
      <c r="D11" s="176">
        <v>221</v>
      </c>
      <c r="E11" s="176"/>
      <c r="F11" s="165">
        <v>411</v>
      </c>
      <c r="G11" s="176"/>
      <c r="H11" s="165">
        <f>B11*0.2+SUM(C11:D11:G11)*0.4</f>
        <v>376.8</v>
      </c>
      <c r="I11" s="177">
        <v>26545.979999999996</v>
      </c>
      <c r="J11" s="181">
        <f t="shared" si="1"/>
        <v>70.451114649681514</v>
      </c>
      <c r="K11" s="175">
        <v>48</v>
      </c>
      <c r="L11" s="177">
        <v>2516.4000000000005</v>
      </c>
      <c r="M11" s="178">
        <f t="shared" si="2"/>
        <v>52.425000000000011</v>
      </c>
      <c r="N11" s="164">
        <v>25</v>
      </c>
      <c r="O11" s="206">
        <v>1187.28</v>
      </c>
      <c r="P11" s="178">
        <f t="shared" si="3"/>
        <v>47.491199999999999</v>
      </c>
      <c r="Q11" s="164">
        <v>75</v>
      </c>
      <c r="R11" s="207">
        <v>5744.75</v>
      </c>
      <c r="S11" s="178">
        <f t="shared" si="4"/>
        <v>76.596666666666664</v>
      </c>
      <c r="T11" s="175"/>
      <c r="U11" s="176">
        <v>35</v>
      </c>
      <c r="V11" s="177">
        <v>486.99</v>
      </c>
      <c r="W11" s="177">
        <f t="shared" si="7"/>
        <v>13.914</v>
      </c>
      <c r="X11" s="176">
        <v>125</v>
      </c>
      <c r="Y11" s="167">
        <v>869.75</v>
      </c>
      <c r="Z11" s="197">
        <f t="shared" si="5"/>
        <v>6.9580000000000002</v>
      </c>
      <c r="AA11" s="175"/>
      <c r="AB11" s="176"/>
      <c r="AC11" s="176"/>
      <c r="AD11" s="176"/>
      <c r="AE11" s="176"/>
      <c r="AF11" s="179"/>
      <c r="AG11" s="198">
        <v>100</v>
      </c>
      <c r="AH11" s="104">
        <v>1100</v>
      </c>
      <c r="AI11" s="172">
        <f t="shared" si="8"/>
        <v>11</v>
      </c>
      <c r="AJ11" s="199">
        <f t="shared" si="6"/>
        <v>38451.149999999994</v>
      </c>
    </row>
    <row r="12" spans="1:36" x14ac:dyDescent="0.25">
      <c r="A12" s="163">
        <v>45876</v>
      </c>
      <c r="B12" s="164">
        <v>200</v>
      </c>
      <c r="C12" s="165">
        <v>210</v>
      </c>
      <c r="D12" s="176">
        <v>205</v>
      </c>
      <c r="E12" s="176"/>
      <c r="F12" s="165">
        <v>411</v>
      </c>
      <c r="G12" s="176"/>
      <c r="H12" s="165">
        <f>B12*0.2+SUM(C12:F12)*0.4</f>
        <v>370.40000000000003</v>
      </c>
      <c r="I12" s="177">
        <v>27624.420000000002</v>
      </c>
      <c r="J12" s="181">
        <f t="shared" si="1"/>
        <v>74.579967602591793</v>
      </c>
      <c r="K12" s="175">
        <v>46</v>
      </c>
      <c r="L12" s="177">
        <v>2253.8937999999998</v>
      </c>
      <c r="M12" s="178">
        <f t="shared" si="2"/>
        <v>48.997691304347825</v>
      </c>
      <c r="N12" s="164">
        <v>25</v>
      </c>
      <c r="O12" s="177">
        <v>1767.6799999999998</v>
      </c>
      <c r="P12" s="178">
        <f t="shared" si="3"/>
        <v>70.7072</v>
      </c>
      <c r="Q12" s="164">
        <v>75</v>
      </c>
      <c r="R12" s="177">
        <v>3748.8399999999997</v>
      </c>
      <c r="S12" s="178">
        <f t="shared" si="4"/>
        <v>49.984533333333331</v>
      </c>
      <c r="T12" s="175"/>
      <c r="U12" s="176">
        <v>35</v>
      </c>
      <c r="V12" s="177">
        <v>489.51</v>
      </c>
      <c r="W12" s="177">
        <f t="shared" si="7"/>
        <v>13.985999999999999</v>
      </c>
      <c r="X12" s="176">
        <v>125</v>
      </c>
      <c r="Y12" s="167">
        <v>869.19999999999993</v>
      </c>
      <c r="Z12" s="197">
        <f t="shared" si="5"/>
        <v>6.9535999999999998</v>
      </c>
      <c r="AA12" s="175"/>
      <c r="AB12" s="176"/>
      <c r="AC12" s="176"/>
      <c r="AD12" s="176"/>
      <c r="AE12" s="176"/>
      <c r="AF12" s="179"/>
      <c r="AG12" s="198">
        <v>100</v>
      </c>
      <c r="AH12" s="104">
        <v>1068.7</v>
      </c>
      <c r="AI12" s="172">
        <f t="shared" si="8"/>
        <v>10.687000000000001</v>
      </c>
      <c r="AJ12" s="199">
        <f t="shared" si="6"/>
        <v>37822.243799999997</v>
      </c>
    </row>
    <row r="13" spans="1:36" x14ac:dyDescent="0.25">
      <c r="A13" s="163">
        <v>45877</v>
      </c>
      <c r="B13" s="175">
        <v>85</v>
      </c>
      <c r="C13" s="176">
        <v>95</v>
      </c>
      <c r="D13" s="176">
        <v>92</v>
      </c>
      <c r="E13" s="176"/>
      <c r="F13" s="165">
        <v>402</v>
      </c>
      <c r="G13" s="176"/>
      <c r="H13" s="165">
        <f>B13*0.2+SUM(C13:D13:G13)*0.4</f>
        <v>252.60000000000002</v>
      </c>
      <c r="I13" s="177">
        <v>16050.195000000003</v>
      </c>
      <c r="J13" s="181">
        <f t="shared" si="1"/>
        <v>63.539964370546329</v>
      </c>
      <c r="K13" s="175">
        <v>46</v>
      </c>
      <c r="L13" s="177">
        <v>2256.12</v>
      </c>
      <c r="M13" s="178">
        <f t="shared" si="2"/>
        <v>49.046086956521734</v>
      </c>
      <c r="N13" s="164">
        <v>25</v>
      </c>
      <c r="O13" s="177">
        <v>1259.4100000000001</v>
      </c>
      <c r="P13" s="178">
        <f t="shared" si="3"/>
        <v>50.376400000000004</v>
      </c>
      <c r="Q13" s="164">
        <v>75</v>
      </c>
      <c r="R13" s="177">
        <v>3905.39</v>
      </c>
      <c r="S13" s="178">
        <f t="shared" si="4"/>
        <v>52.071866666666665</v>
      </c>
      <c r="T13" s="175"/>
      <c r="U13" s="176">
        <v>28</v>
      </c>
      <c r="V13" s="177">
        <v>391.11</v>
      </c>
      <c r="W13" s="177">
        <f t="shared" si="7"/>
        <v>13.968214285714286</v>
      </c>
      <c r="X13" s="176">
        <v>11</v>
      </c>
      <c r="Y13" s="167">
        <v>80.789999999999992</v>
      </c>
      <c r="Z13" s="197">
        <f t="shared" si="5"/>
        <v>7.3445454545454538</v>
      </c>
      <c r="AA13" s="175"/>
      <c r="AB13" s="176"/>
      <c r="AC13" s="176"/>
      <c r="AD13" s="176"/>
      <c r="AE13" s="176"/>
      <c r="AF13" s="179"/>
      <c r="AG13" s="198">
        <v>100</v>
      </c>
      <c r="AH13" s="104">
        <v>1270.9599999999998</v>
      </c>
      <c r="AI13" s="172">
        <f t="shared" si="8"/>
        <v>12.709599999999998</v>
      </c>
      <c r="AJ13" s="199">
        <f t="shared" si="6"/>
        <v>25213.975000000002</v>
      </c>
    </row>
    <row r="14" spans="1:36" x14ac:dyDescent="0.25">
      <c r="A14" s="163">
        <v>45878</v>
      </c>
      <c r="B14" s="175">
        <v>85</v>
      </c>
      <c r="C14" s="176">
        <v>95</v>
      </c>
      <c r="D14" s="176">
        <v>89</v>
      </c>
      <c r="E14" s="176"/>
      <c r="F14" s="165">
        <v>402</v>
      </c>
      <c r="G14" s="176"/>
      <c r="H14" s="165">
        <f t="shared" si="0"/>
        <v>251.4</v>
      </c>
      <c r="I14" s="177">
        <v>19833.960000000006</v>
      </c>
      <c r="J14" s="181">
        <f t="shared" si="1"/>
        <v>78.89403341288785</v>
      </c>
      <c r="K14" s="175">
        <v>46</v>
      </c>
      <c r="L14" s="177">
        <v>3124.12</v>
      </c>
      <c r="M14" s="178">
        <f t="shared" si="2"/>
        <v>67.915652173913045</v>
      </c>
      <c r="N14" s="164">
        <v>25</v>
      </c>
      <c r="O14" s="177">
        <v>1659.6</v>
      </c>
      <c r="P14" s="178">
        <f t="shared" si="3"/>
        <v>66.384</v>
      </c>
      <c r="Q14" s="164">
        <v>75</v>
      </c>
      <c r="R14" s="177">
        <v>4076.62</v>
      </c>
      <c r="S14" s="178">
        <f t="shared" si="4"/>
        <v>54.354933333333335</v>
      </c>
      <c r="T14" s="175"/>
      <c r="U14" s="176">
        <v>28</v>
      </c>
      <c r="V14" s="177">
        <v>389.37</v>
      </c>
      <c r="W14" s="177">
        <f t="shared" si="7"/>
        <v>13.906071428571428</v>
      </c>
      <c r="X14" s="176">
        <v>11</v>
      </c>
      <c r="Y14" s="177">
        <v>77.91</v>
      </c>
      <c r="Z14" s="197">
        <f t="shared" si="5"/>
        <v>7.0827272727272721</v>
      </c>
      <c r="AA14" s="175"/>
      <c r="AB14" s="176"/>
      <c r="AC14" s="176"/>
      <c r="AD14" s="176"/>
      <c r="AE14" s="176"/>
      <c r="AF14" s="179"/>
      <c r="AG14" s="198">
        <v>102</v>
      </c>
      <c r="AH14" s="104">
        <v>1181.5</v>
      </c>
      <c r="AI14" s="172">
        <f t="shared" si="8"/>
        <v>11.583333333333334</v>
      </c>
      <c r="AJ14" s="199">
        <f t="shared" si="6"/>
        <v>30343.08</v>
      </c>
    </row>
    <row r="15" spans="1:36" x14ac:dyDescent="0.25">
      <c r="A15" s="163">
        <v>45879</v>
      </c>
      <c r="B15" s="175">
        <v>200</v>
      </c>
      <c r="C15" s="176">
        <v>210</v>
      </c>
      <c r="D15" s="176">
        <v>262</v>
      </c>
      <c r="E15" s="176"/>
      <c r="F15" s="165">
        <v>421</v>
      </c>
      <c r="G15" s="176"/>
      <c r="H15" s="165">
        <f t="shared" si="0"/>
        <v>397.20000000000005</v>
      </c>
      <c r="I15" s="177">
        <v>32632.28836000001</v>
      </c>
      <c r="J15" s="181">
        <f t="shared" si="1"/>
        <v>82.155811581067482</v>
      </c>
      <c r="K15" s="175">
        <v>46</v>
      </c>
      <c r="L15" s="177">
        <v>3428.8</v>
      </c>
      <c r="M15" s="178">
        <f t="shared" si="2"/>
        <v>74.539130434782606</v>
      </c>
      <c r="N15" s="164">
        <v>25</v>
      </c>
      <c r="O15" s="177">
        <v>1332.6699999999998</v>
      </c>
      <c r="P15" s="178">
        <f t="shared" si="3"/>
        <v>53.306799999999996</v>
      </c>
      <c r="Q15" s="164">
        <v>75</v>
      </c>
      <c r="R15" s="177">
        <v>4146.7999999999993</v>
      </c>
      <c r="S15" s="178">
        <f t="shared" si="4"/>
        <v>55.29066666666666</v>
      </c>
      <c r="T15" s="175"/>
      <c r="U15" s="176">
        <v>172</v>
      </c>
      <c r="V15" s="177">
        <v>2389.8700000000003</v>
      </c>
      <c r="W15" s="177">
        <f t="shared" si="7"/>
        <v>13.894593023255815</v>
      </c>
      <c r="X15" s="176">
        <v>127</v>
      </c>
      <c r="Y15" s="177">
        <v>880.09999999999991</v>
      </c>
      <c r="Z15" s="197">
        <f t="shared" si="5"/>
        <v>6.9299212598425193</v>
      </c>
      <c r="AA15" s="175"/>
      <c r="AB15" s="176"/>
      <c r="AC15" s="176"/>
      <c r="AD15" s="176"/>
      <c r="AE15" s="176"/>
      <c r="AF15" s="179"/>
      <c r="AG15" s="198">
        <v>102</v>
      </c>
      <c r="AH15" s="104">
        <v>1174.2</v>
      </c>
      <c r="AI15" s="172">
        <f t="shared" si="8"/>
        <v>11.511764705882353</v>
      </c>
      <c r="AJ15" s="199">
        <f t="shared" si="6"/>
        <v>45984.728360000008</v>
      </c>
    </row>
    <row r="16" spans="1:36" x14ac:dyDescent="0.25">
      <c r="A16" s="163">
        <v>45880</v>
      </c>
      <c r="B16" s="175">
        <v>200</v>
      </c>
      <c r="C16" s="176">
        <v>210</v>
      </c>
      <c r="D16" s="176">
        <v>228</v>
      </c>
      <c r="E16" s="176"/>
      <c r="F16" s="165">
        <v>421</v>
      </c>
      <c r="G16" s="176"/>
      <c r="H16" s="165">
        <f>B16*0.2+SUM(C16:G16)*0.4</f>
        <v>383.6</v>
      </c>
      <c r="I16" s="177">
        <v>32451.097099999999</v>
      </c>
      <c r="J16" s="181">
        <f t="shared" si="1"/>
        <v>84.596186392075069</v>
      </c>
      <c r="K16" s="175">
        <v>48</v>
      </c>
      <c r="L16" s="177">
        <v>2222.5199999999995</v>
      </c>
      <c r="M16" s="178">
        <f t="shared" si="2"/>
        <v>46.302499999999988</v>
      </c>
      <c r="N16" s="164">
        <v>25</v>
      </c>
      <c r="O16" s="177">
        <v>2275.64</v>
      </c>
      <c r="P16" s="178">
        <f t="shared" si="3"/>
        <v>91.025599999999997</v>
      </c>
      <c r="Q16" s="164">
        <v>75</v>
      </c>
      <c r="R16" s="177">
        <v>3376.8</v>
      </c>
      <c r="S16" s="178">
        <f t="shared" si="4"/>
        <v>45.024000000000001</v>
      </c>
      <c r="T16" s="175"/>
      <c r="U16" s="176">
        <v>35</v>
      </c>
      <c r="V16" s="177">
        <v>502.81499999999994</v>
      </c>
      <c r="W16" s="177">
        <f t="shared" si="7"/>
        <v>14.366142857142856</v>
      </c>
      <c r="X16" s="176">
        <v>125</v>
      </c>
      <c r="Y16" s="177">
        <v>877.43000000000006</v>
      </c>
      <c r="Z16" s="197">
        <f t="shared" si="5"/>
        <v>7.0194400000000003</v>
      </c>
      <c r="AA16" s="175"/>
      <c r="AB16" s="176"/>
      <c r="AC16" s="176"/>
      <c r="AD16" s="176"/>
      <c r="AE16" s="176"/>
      <c r="AF16" s="179"/>
      <c r="AG16" s="198">
        <v>102</v>
      </c>
      <c r="AH16" s="104">
        <v>1240.8399999999999</v>
      </c>
      <c r="AI16" s="172">
        <f t="shared" si="8"/>
        <v>12.165098039215685</v>
      </c>
      <c r="AJ16" s="199">
        <f t="shared" si="6"/>
        <v>42947.142099999997</v>
      </c>
    </row>
    <row r="17" spans="1:36" x14ac:dyDescent="0.25">
      <c r="A17" s="163">
        <v>45881</v>
      </c>
      <c r="B17" s="175">
        <v>200</v>
      </c>
      <c r="C17" s="176">
        <v>210</v>
      </c>
      <c r="D17" s="176">
        <v>235</v>
      </c>
      <c r="E17" s="176"/>
      <c r="F17" s="165">
        <v>421</v>
      </c>
      <c r="G17" s="176"/>
      <c r="H17" s="165">
        <f t="shared" si="0"/>
        <v>386.40000000000003</v>
      </c>
      <c r="I17" s="177">
        <v>21191.840000000004</v>
      </c>
      <c r="J17" s="181">
        <f t="shared" si="1"/>
        <v>54.844306418219468</v>
      </c>
      <c r="K17" s="175">
        <v>48</v>
      </c>
      <c r="L17" s="177">
        <v>2577.4182999999998</v>
      </c>
      <c r="M17" s="178">
        <f t="shared" si="2"/>
        <v>53.69621458333333</v>
      </c>
      <c r="N17" s="164">
        <v>25</v>
      </c>
      <c r="O17" s="177">
        <v>1514.24</v>
      </c>
      <c r="P17" s="178">
        <f t="shared" si="3"/>
        <v>60.569600000000001</v>
      </c>
      <c r="Q17" s="164">
        <v>75</v>
      </c>
      <c r="R17" s="177">
        <v>3407.5</v>
      </c>
      <c r="S17" s="178">
        <f t="shared" si="4"/>
        <v>45.43333333333333</v>
      </c>
      <c r="T17" s="175"/>
      <c r="U17" s="176">
        <v>35</v>
      </c>
      <c r="V17" s="177">
        <v>489.12</v>
      </c>
      <c r="W17" s="177">
        <f t="shared" si="7"/>
        <v>13.974857142857143</v>
      </c>
      <c r="X17" s="176">
        <v>125</v>
      </c>
      <c r="Y17" s="177">
        <v>885.62</v>
      </c>
      <c r="Z17" s="197">
        <f t="shared" si="5"/>
        <v>7.0849599999999997</v>
      </c>
      <c r="AA17" s="175"/>
      <c r="AB17" s="176"/>
      <c r="AC17" s="176"/>
      <c r="AD17" s="176"/>
      <c r="AE17" s="176"/>
      <c r="AF17" s="179"/>
      <c r="AG17" s="198">
        <v>102</v>
      </c>
      <c r="AH17" s="104">
        <v>1131.75</v>
      </c>
      <c r="AI17" s="172">
        <f t="shared" si="8"/>
        <v>11.095588235294118</v>
      </c>
      <c r="AJ17" s="199">
        <f t="shared" si="6"/>
        <v>31197.488300000005</v>
      </c>
    </row>
    <row r="18" spans="1:36" x14ac:dyDescent="0.25">
      <c r="A18" s="163">
        <v>45882</v>
      </c>
      <c r="B18" s="175">
        <v>200</v>
      </c>
      <c r="C18" s="176">
        <v>210</v>
      </c>
      <c r="D18" s="176">
        <v>208</v>
      </c>
      <c r="E18" s="176"/>
      <c r="F18" s="165">
        <v>421</v>
      </c>
      <c r="G18" s="176"/>
      <c r="H18" s="165">
        <f t="shared" si="0"/>
        <v>375.6</v>
      </c>
      <c r="I18" s="177">
        <v>22347.715</v>
      </c>
      <c r="J18" s="181">
        <f t="shared" si="1"/>
        <v>59.498708732694354</v>
      </c>
      <c r="K18" s="175">
        <v>43</v>
      </c>
      <c r="L18" s="177">
        <v>3083.1399999999994</v>
      </c>
      <c r="M18" s="178">
        <f t="shared" si="2"/>
        <v>71.700930232558122</v>
      </c>
      <c r="N18" s="164">
        <v>25</v>
      </c>
      <c r="O18" s="177">
        <v>1744.06</v>
      </c>
      <c r="P18" s="178">
        <f t="shared" si="3"/>
        <v>69.7624</v>
      </c>
      <c r="Q18" s="164">
        <v>75</v>
      </c>
      <c r="R18" s="177">
        <v>3839.6550000000002</v>
      </c>
      <c r="S18" s="178">
        <f t="shared" si="4"/>
        <v>51.195399999999999</v>
      </c>
      <c r="T18" s="175"/>
      <c r="U18" s="176">
        <v>35</v>
      </c>
      <c r="V18" s="177">
        <v>489.12</v>
      </c>
      <c r="W18" s="177">
        <f t="shared" si="7"/>
        <v>13.974857142857143</v>
      </c>
      <c r="X18" s="176">
        <v>125</v>
      </c>
      <c r="Y18" s="177">
        <v>880.62</v>
      </c>
      <c r="Z18" s="197">
        <f t="shared" si="5"/>
        <v>7.0449599999999997</v>
      </c>
      <c r="AA18" s="175"/>
      <c r="AB18" s="176"/>
      <c r="AC18" s="176"/>
      <c r="AD18" s="176"/>
      <c r="AE18" s="176"/>
      <c r="AF18" s="179"/>
      <c r="AG18" s="198">
        <v>102</v>
      </c>
      <c r="AH18" s="104">
        <v>1389.01</v>
      </c>
      <c r="AI18" s="172">
        <f t="shared" si="8"/>
        <v>13.617745098039215</v>
      </c>
      <c r="AJ18" s="199">
        <f t="shared" si="6"/>
        <v>33773.32</v>
      </c>
    </row>
    <row r="19" spans="1:36" x14ac:dyDescent="0.25">
      <c r="A19" s="163">
        <v>45883</v>
      </c>
      <c r="B19" s="175">
        <v>200</v>
      </c>
      <c r="C19" s="176">
        <v>210</v>
      </c>
      <c r="D19" s="176">
        <v>205</v>
      </c>
      <c r="E19" s="176"/>
      <c r="F19" s="165">
        <v>421</v>
      </c>
      <c r="G19" s="176"/>
      <c r="H19" s="165">
        <f t="shared" si="0"/>
        <v>374.40000000000003</v>
      </c>
      <c r="I19" s="177">
        <v>29518.86</v>
      </c>
      <c r="J19" s="181">
        <f t="shared" si="1"/>
        <v>78.843108974358969</v>
      </c>
      <c r="K19" s="175">
        <v>42</v>
      </c>
      <c r="L19" s="177">
        <v>3100.44</v>
      </c>
      <c r="M19" s="178">
        <f t="shared" si="2"/>
        <v>73.820000000000007</v>
      </c>
      <c r="N19" s="164">
        <v>25</v>
      </c>
      <c r="O19" s="177">
        <v>1538.15</v>
      </c>
      <c r="P19" s="178">
        <f t="shared" si="3"/>
        <v>61.526000000000003</v>
      </c>
      <c r="Q19" s="164">
        <v>75</v>
      </c>
      <c r="R19" s="177">
        <v>3738.0847000000003</v>
      </c>
      <c r="S19" s="178">
        <f t="shared" si="4"/>
        <v>49.841129333333335</v>
      </c>
      <c r="T19" s="175"/>
      <c r="U19" s="176">
        <v>35</v>
      </c>
      <c r="V19" s="177">
        <v>489.1</v>
      </c>
      <c r="W19" s="177">
        <f t="shared" si="7"/>
        <v>13.974285714285715</v>
      </c>
      <c r="X19" s="176">
        <v>125</v>
      </c>
      <c r="Y19" s="177">
        <v>874.09999999999991</v>
      </c>
      <c r="Z19" s="197">
        <f t="shared" si="5"/>
        <v>6.992799999999999</v>
      </c>
      <c r="AA19" s="175"/>
      <c r="AB19" s="176"/>
      <c r="AC19" s="176"/>
      <c r="AD19" s="176"/>
      <c r="AE19" s="176"/>
      <c r="AF19" s="179"/>
      <c r="AG19" s="198">
        <v>103</v>
      </c>
      <c r="AH19" s="104">
        <v>1106.5999999999999</v>
      </c>
      <c r="AI19" s="172">
        <f t="shared" si="8"/>
        <v>10.743689320388349</v>
      </c>
      <c r="AJ19" s="199">
        <f t="shared" si="6"/>
        <v>40365.334699999992</v>
      </c>
    </row>
    <row r="20" spans="1:36" x14ac:dyDescent="0.25">
      <c r="A20" s="163">
        <v>45884</v>
      </c>
      <c r="B20" s="175">
        <v>85</v>
      </c>
      <c r="C20" s="176">
        <v>95</v>
      </c>
      <c r="D20" s="176">
        <v>95</v>
      </c>
      <c r="E20" s="176"/>
      <c r="F20" s="165">
        <v>422</v>
      </c>
      <c r="G20" s="176"/>
      <c r="H20" s="165">
        <f t="shared" si="0"/>
        <v>261.8</v>
      </c>
      <c r="I20" s="177">
        <v>16864.229999999996</v>
      </c>
      <c r="J20" s="181">
        <f t="shared" si="1"/>
        <v>64.416462948815877</v>
      </c>
      <c r="K20" s="175">
        <v>45</v>
      </c>
      <c r="L20" s="177">
        <v>2185.2600000000002</v>
      </c>
      <c r="M20" s="178">
        <f t="shared" si="2"/>
        <v>48.561333333333337</v>
      </c>
      <c r="N20" s="164">
        <v>25</v>
      </c>
      <c r="O20" s="177">
        <v>1595.91</v>
      </c>
      <c r="P20" s="178">
        <f t="shared" si="3"/>
        <v>63.836400000000005</v>
      </c>
      <c r="Q20" s="164">
        <v>75</v>
      </c>
      <c r="R20" s="177">
        <v>3851.9490000000001</v>
      </c>
      <c r="S20" s="178">
        <f t="shared" si="4"/>
        <v>51.359320000000004</v>
      </c>
      <c r="T20" s="175"/>
      <c r="U20" s="176">
        <v>71</v>
      </c>
      <c r="V20" s="177">
        <v>980.41</v>
      </c>
      <c r="W20" s="177">
        <f t="shared" si="7"/>
        <v>13.808591549295775</v>
      </c>
      <c r="X20" s="176">
        <v>28</v>
      </c>
      <c r="Y20" s="177">
        <v>194.24</v>
      </c>
      <c r="Z20" s="197">
        <f t="shared" si="5"/>
        <v>6.9371428571428577</v>
      </c>
      <c r="AA20" s="175"/>
      <c r="AB20" s="176"/>
      <c r="AC20" s="176"/>
      <c r="AD20" s="176"/>
      <c r="AE20" s="176"/>
      <c r="AF20" s="179"/>
      <c r="AG20" s="198">
        <v>103</v>
      </c>
      <c r="AH20" s="104">
        <v>1053.6599999999999</v>
      </c>
      <c r="AI20" s="172">
        <f t="shared" si="8"/>
        <v>10.229708737864076</v>
      </c>
      <c r="AJ20" s="199">
        <f t="shared" si="6"/>
        <v>26725.659</v>
      </c>
    </row>
    <row r="21" spans="1:36" x14ac:dyDescent="0.25">
      <c r="A21" s="163">
        <v>45885</v>
      </c>
      <c r="B21" s="175">
        <v>85</v>
      </c>
      <c r="C21" s="176">
        <v>95</v>
      </c>
      <c r="D21" s="176">
        <v>94</v>
      </c>
      <c r="E21" s="176"/>
      <c r="F21" s="165">
        <v>402</v>
      </c>
      <c r="G21" s="176"/>
      <c r="H21" s="165">
        <f t="shared" si="0"/>
        <v>253.4</v>
      </c>
      <c r="I21" s="177">
        <v>18180.830000000002</v>
      </c>
      <c r="J21" s="181">
        <f t="shared" si="1"/>
        <v>71.747553275453839</v>
      </c>
      <c r="K21" s="175">
        <v>46</v>
      </c>
      <c r="L21" s="177">
        <v>2198.6</v>
      </c>
      <c r="M21" s="178">
        <f t="shared" si="2"/>
        <v>47.795652173913041</v>
      </c>
      <c r="N21" s="164">
        <v>25</v>
      </c>
      <c r="O21" s="177">
        <v>1237.4000000000001</v>
      </c>
      <c r="P21" s="178">
        <f t="shared" si="3"/>
        <v>49.496000000000002</v>
      </c>
      <c r="Q21" s="164">
        <v>75</v>
      </c>
      <c r="R21" s="177">
        <v>4076.62</v>
      </c>
      <c r="S21" s="178">
        <f t="shared" si="4"/>
        <v>54.354933333333335</v>
      </c>
      <c r="T21" s="175"/>
      <c r="U21" s="176">
        <v>11</v>
      </c>
      <c r="V21" s="177">
        <v>153.12</v>
      </c>
      <c r="W21" s="177">
        <f t="shared" si="7"/>
        <v>13.92</v>
      </c>
      <c r="X21" s="176">
        <v>28</v>
      </c>
      <c r="Y21" s="177">
        <v>198.77</v>
      </c>
      <c r="Z21" s="197">
        <f t="shared" si="5"/>
        <v>7.0989285714285719</v>
      </c>
      <c r="AA21" s="175"/>
      <c r="AB21" s="176"/>
      <c r="AC21" s="176"/>
      <c r="AD21" s="176"/>
      <c r="AE21" s="176"/>
      <c r="AF21" s="179"/>
      <c r="AG21" s="198">
        <v>103</v>
      </c>
      <c r="AH21" s="104">
        <v>1282.3</v>
      </c>
      <c r="AI21" s="172">
        <f t="shared" si="8"/>
        <v>12.449514563106796</v>
      </c>
      <c r="AJ21" s="199">
        <f t="shared" si="6"/>
        <v>27327.64</v>
      </c>
    </row>
    <row r="22" spans="1:36" x14ac:dyDescent="0.25">
      <c r="A22" s="163">
        <v>45886</v>
      </c>
      <c r="B22" s="175">
        <v>200</v>
      </c>
      <c r="C22" s="176">
        <v>210</v>
      </c>
      <c r="D22" s="176">
        <v>265</v>
      </c>
      <c r="E22" s="176"/>
      <c r="F22" s="165">
        <v>411</v>
      </c>
      <c r="G22" s="176"/>
      <c r="H22" s="165">
        <f t="shared" si="0"/>
        <v>394.40000000000003</v>
      </c>
      <c r="I22" s="177">
        <v>31273.480200000013</v>
      </c>
      <c r="J22" s="181">
        <f t="shared" si="1"/>
        <v>79.293813894523353</v>
      </c>
      <c r="K22" s="175">
        <v>46</v>
      </c>
      <c r="L22" s="177">
        <v>2946.0885000000003</v>
      </c>
      <c r="M22" s="178">
        <f t="shared" si="2"/>
        <v>64.045402173913047</v>
      </c>
      <c r="N22" s="164">
        <v>25</v>
      </c>
      <c r="O22" s="177">
        <v>1890.5450000000001</v>
      </c>
      <c r="P22" s="178">
        <f t="shared" si="3"/>
        <v>75.621800000000007</v>
      </c>
      <c r="Q22" s="164">
        <v>75</v>
      </c>
      <c r="R22" s="177">
        <v>5002.3099999999986</v>
      </c>
      <c r="S22" s="178">
        <f t="shared" si="4"/>
        <v>66.697466666666642</v>
      </c>
      <c r="T22" s="175"/>
      <c r="U22" s="176">
        <v>35</v>
      </c>
      <c r="V22" s="177">
        <v>489.51</v>
      </c>
      <c r="W22" s="177">
        <f t="shared" si="7"/>
        <v>13.985999999999999</v>
      </c>
      <c r="X22" s="176">
        <v>125</v>
      </c>
      <c r="Y22" s="177">
        <v>906.97</v>
      </c>
      <c r="Z22" s="197">
        <f t="shared" si="5"/>
        <v>7.2557600000000004</v>
      </c>
      <c r="AA22" s="175"/>
      <c r="AB22" s="176"/>
      <c r="AC22" s="176"/>
      <c r="AD22" s="176"/>
      <c r="AE22" s="176"/>
      <c r="AF22" s="179"/>
      <c r="AG22" s="198">
        <v>103</v>
      </c>
      <c r="AH22" s="104">
        <v>1195.95</v>
      </c>
      <c r="AI22" s="172">
        <f t="shared" si="8"/>
        <v>11.61116504854369</v>
      </c>
      <c r="AJ22" s="199">
        <f t="shared" si="6"/>
        <v>43704.853700000007</v>
      </c>
    </row>
    <row r="23" spans="1:36" x14ac:dyDescent="0.25">
      <c r="A23" s="163">
        <v>45887</v>
      </c>
      <c r="B23" s="175">
        <v>200</v>
      </c>
      <c r="C23" s="176">
        <v>210</v>
      </c>
      <c r="D23" s="176">
        <v>223</v>
      </c>
      <c r="E23" s="176"/>
      <c r="F23" s="165">
        <v>411</v>
      </c>
      <c r="G23" s="176"/>
      <c r="H23" s="165">
        <f t="shared" si="0"/>
        <v>377.6</v>
      </c>
      <c r="I23" s="177">
        <v>27603.22</v>
      </c>
      <c r="J23" s="181">
        <f t="shared" si="1"/>
        <v>73.101747881355934</v>
      </c>
      <c r="K23" s="175">
        <v>46</v>
      </c>
      <c r="L23" s="177">
        <v>2982.64</v>
      </c>
      <c r="M23" s="178">
        <f t="shared" si="2"/>
        <v>64.84</v>
      </c>
      <c r="N23" s="164">
        <v>25</v>
      </c>
      <c r="O23" s="177">
        <v>1490.3600000000001</v>
      </c>
      <c r="P23" s="178">
        <f t="shared" si="3"/>
        <v>59.614400000000003</v>
      </c>
      <c r="Q23" s="164">
        <v>75</v>
      </c>
      <c r="R23" s="177">
        <v>3913.971</v>
      </c>
      <c r="S23" s="178">
        <f t="shared" si="4"/>
        <v>52.186280000000004</v>
      </c>
      <c r="T23" s="175"/>
      <c r="U23" s="176">
        <v>70</v>
      </c>
      <c r="V23" s="177">
        <v>982.35</v>
      </c>
      <c r="W23" s="177">
        <f t="shared" si="7"/>
        <v>14.033571428571429</v>
      </c>
      <c r="X23" s="176">
        <v>125</v>
      </c>
      <c r="Y23" s="177">
        <v>866.33</v>
      </c>
      <c r="Z23" s="197">
        <f t="shared" si="5"/>
        <v>6.9306400000000004</v>
      </c>
      <c r="AA23" s="175"/>
      <c r="AB23" s="176"/>
      <c r="AC23" s="176"/>
      <c r="AD23" s="176"/>
      <c r="AE23" s="176"/>
      <c r="AF23" s="179"/>
      <c r="AG23" s="198">
        <v>103</v>
      </c>
      <c r="AH23" s="104">
        <v>1229.2</v>
      </c>
      <c r="AI23" s="172">
        <f t="shared" si="8"/>
        <v>11.933980582524272</v>
      </c>
      <c r="AJ23" s="199">
        <f t="shared" si="6"/>
        <v>39068.070999999996</v>
      </c>
    </row>
    <row r="24" spans="1:36" x14ac:dyDescent="0.25">
      <c r="A24" s="163">
        <v>45888</v>
      </c>
      <c r="B24" s="175">
        <v>200</v>
      </c>
      <c r="C24" s="176">
        <v>210</v>
      </c>
      <c r="D24" s="176">
        <v>233</v>
      </c>
      <c r="E24" s="176"/>
      <c r="F24" s="165">
        <v>411</v>
      </c>
      <c r="G24" s="176"/>
      <c r="H24" s="165">
        <f t="shared" si="0"/>
        <v>381.6</v>
      </c>
      <c r="I24" s="177">
        <v>25254.870100000004</v>
      </c>
      <c r="J24" s="181">
        <f t="shared" si="1"/>
        <v>66.181525419287212</v>
      </c>
      <c r="K24" s="175">
        <v>46</v>
      </c>
      <c r="L24" s="177">
        <v>2506.0150000000003</v>
      </c>
      <c r="M24" s="178">
        <f t="shared" si="2"/>
        <v>54.478586956521745</v>
      </c>
      <c r="N24" s="164">
        <v>25</v>
      </c>
      <c r="O24" s="177">
        <v>1244.855</v>
      </c>
      <c r="P24" s="178">
        <f t="shared" si="3"/>
        <v>49.794200000000004</v>
      </c>
      <c r="Q24" s="164">
        <v>75</v>
      </c>
      <c r="R24" s="177">
        <v>4306.53</v>
      </c>
      <c r="S24" s="178">
        <f t="shared" si="4"/>
        <v>57.420399999999994</v>
      </c>
      <c r="T24" s="175"/>
      <c r="U24" s="176">
        <v>45</v>
      </c>
      <c r="V24" s="177">
        <v>632.4</v>
      </c>
      <c r="W24" s="177">
        <f t="shared" si="7"/>
        <v>14.053333333333333</v>
      </c>
      <c r="X24" s="176">
        <v>125</v>
      </c>
      <c r="Y24" s="177">
        <v>865.02</v>
      </c>
      <c r="Z24" s="197">
        <f t="shared" si="5"/>
        <v>6.9201600000000001</v>
      </c>
      <c r="AA24" s="175"/>
      <c r="AB24" s="176"/>
      <c r="AC24" s="176"/>
      <c r="AD24" s="176"/>
      <c r="AE24" s="176"/>
      <c r="AF24" s="179"/>
      <c r="AG24" s="198">
        <v>103</v>
      </c>
      <c r="AH24" s="104">
        <v>1181.28</v>
      </c>
      <c r="AI24" s="172">
        <f t="shared" si="8"/>
        <v>11.468737864077669</v>
      </c>
      <c r="AJ24" s="199">
        <f t="shared" si="6"/>
        <v>35990.970099999999</v>
      </c>
    </row>
    <row r="25" spans="1:36" x14ac:dyDescent="0.25">
      <c r="A25" s="163">
        <v>45889</v>
      </c>
      <c r="B25" s="175">
        <v>200</v>
      </c>
      <c r="C25" s="176">
        <v>210</v>
      </c>
      <c r="D25" s="176">
        <v>228</v>
      </c>
      <c r="E25" s="176"/>
      <c r="F25" s="165">
        <v>411</v>
      </c>
      <c r="G25" s="176"/>
      <c r="H25" s="165">
        <f t="shared" si="0"/>
        <v>379.6</v>
      </c>
      <c r="I25" s="177">
        <v>27078.330000000005</v>
      </c>
      <c r="J25" s="181">
        <f t="shared" si="1"/>
        <v>71.333851422550069</v>
      </c>
      <c r="K25" s="175">
        <v>47</v>
      </c>
      <c r="L25" s="177">
        <v>2169.6000000000004</v>
      </c>
      <c r="M25" s="178">
        <f t="shared" si="2"/>
        <v>46.161702127659581</v>
      </c>
      <c r="N25" s="164">
        <v>25</v>
      </c>
      <c r="O25" s="177">
        <v>1438.16</v>
      </c>
      <c r="P25" s="178">
        <f t="shared" si="3"/>
        <v>57.526400000000002</v>
      </c>
      <c r="Q25" s="164">
        <v>75</v>
      </c>
      <c r="R25" s="177">
        <v>3889.59</v>
      </c>
      <c r="S25" s="178">
        <f t="shared" si="4"/>
        <v>51.861200000000004</v>
      </c>
      <c r="T25" s="175"/>
      <c r="U25" s="176">
        <v>45</v>
      </c>
      <c r="V25" s="177">
        <v>624.44000000000005</v>
      </c>
      <c r="W25" s="177">
        <f t="shared" si="7"/>
        <v>13.876444444444445</v>
      </c>
      <c r="X25" s="176">
        <v>125</v>
      </c>
      <c r="Y25" s="177">
        <v>873.3</v>
      </c>
      <c r="Z25" s="197">
        <f t="shared" si="5"/>
        <v>6.9863999999999997</v>
      </c>
      <c r="AA25" s="175"/>
      <c r="AB25" s="176"/>
      <c r="AC25" s="176"/>
      <c r="AD25" s="176"/>
      <c r="AE25" s="176"/>
      <c r="AF25" s="179"/>
      <c r="AG25" s="198">
        <v>103</v>
      </c>
      <c r="AH25" s="104">
        <v>1072.3400000000001</v>
      </c>
      <c r="AI25" s="172">
        <f t="shared" si="8"/>
        <v>10.411067961165051</v>
      </c>
      <c r="AJ25" s="199">
        <f t="shared" si="6"/>
        <v>37145.760000000009</v>
      </c>
    </row>
    <row r="26" spans="1:36" x14ac:dyDescent="0.25">
      <c r="A26" s="163">
        <v>45890</v>
      </c>
      <c r="B26" s="175">
        <v>200</v>
      </c>
      <c r="C26" s="176">
        <v>210</v>
      </c>
      <c r="D26" s="176">
        <v>205</v>
      </c>
      <c r="E26" s="176"/>
      <c r="F26" s="165">
        <v>411</v>
      </c>
      <c r="G26" s="176"/>
      <c r="H26" s="165">
        <f t="shared" si="0"/>
        <v>370.40000000000003</v>
      </c>
      <c r="I26" s="177">
        <v>27237.107899999999</v>
      </c>
      <c r="J26" s="181">
        <f t="shared" si="1"/>
        <v>73.53430858531317</v>
      </c>
      <c r="K26" s="175">
        <v>47</v>
      </c>
      <c r="L26" s="177">
        <v>2740.74</v>
      </c>
      <c r="M26" s="178">
        <f t="shared" si="2"/>
        <v>58.313617021276592</v>
      </c>
      <c r="N26" s="164">
        <v>25</v>
      </c>
      <c r="O26" s="177">
        <v>1410.8000000000002</v>
      </c>
      <c r="P26" s="178">
        <f t="shared" si="3"/>
        <v>56.432000000000009</v>
      </c>
      <c r="Q26" s="164">
        <v>75</v>
      </c>
      <c r="R26" s="177">
        <v>4161.97</v>
      </c>
      <c r="S26" s="178">
        <f t="shared" si="4"/>
        <v>55.492933333333333</v>
      </c>
      <c r="T26" s="175"/>
      <c r="U26" s="176">
        <v>45</v>
      </c>
      <c r="V26" s="177">
        <v>629.16</v>
      </c>
      <c r="W26" s="177">
        <f t="shared" si="7"/>
        <v>13.981333333333332</v>
      </c>
      <c r="X26" s="176">
        <v>125</v>
      </c>
      <c r="Y26" s="177">
        <v>872.1</v>
      </c>
      <c r="Z26" s="197">
        <f t="shared" si="5"/>
        <v>6.9767999999999999</v>
      </c>
      <c r="AA26" s="175"/>
      <c r="AB26" s="176"/>
      <c r="AC26" s="176"/>
      <c r="AD26" s="176"/>
      <c r="AE26" s="176"/>
      <c r="AF26" s="179"/>
      <c r="AG26" s="198">
        <v>103</v>
      </c>
      <c r="AH26" s="104">
        <v>1166.98</v>
      </c>
      <c r="AI26" s="172">
        <f t="shared" si="8"/>
        <v>11.329902912621359</v>
      </c>
      <c r="AJ26" s="199">
        <f t="shared" si="6"/>
        <v>38218.857900000003</v>
      </c>
    </row>
    <row r="27" spans="1:36" x14ac:dyDescent="0.25">
      <c r="A27" s="163">
        <v>45891</v>
      </c>
      <c r="B27" s="175">
        <v>85</v>
      </c>
      <c r="C27" s="176">
        <v>95</v>
      </c>
      <c r="D27" s="176">
        <v>99</v>
      </c>
      <c r="E27" s="176"/>
      <c r="F27" s="165">
        <v>402</v>
      </c>
      <c r="G27" s="176"/>
      <c r="H27" s="165">
        <f t="shared" si="0"/>
        <v>255.4</v>
      </c>
      <c r="I27" s="177">
        <v>17805.015500000001</v>
      </c>
      <c r="J27" s="181">
        <f t="shared" si="1"/>
        <v>69.714234534064218</v>
      </c>
      <c r="K27" s="175">
        <v>47</v>
      </c>
      <c r="L27" s="177">
        <v>2603.1200000000003</v>
      </c>
      <c r="M27" s="178">
        <f t="shared" si="2"/>
        <v>55.385531914893626</v>
      </c>
      <c r="N27" s="164">
        <v>25</v>
      </c>
      <c r="O27" s="177">
        <v>1335.56</v>
      </c>
      <c r="P27" s="178">
        <f t="shared" si="3"/>
        <v>53.422399999999996</v>
      </c>
      <c r="Q27" s="164">
        <v>75</v>
      </c>
      <c r="R27" s="177">
        <v>4751.6900000000005</v>
      </c>
      <c r="S27" s="178">
        <f t="shared" si="4"/>
        <v>63.355866666666671</v>
      </c>
      <c r="T27" s="175"/>
      <c r="U27" s="176">
        <v>11</v>
      </c>
      <c r="V27" s="177">
        <v>153.09</v>
      </c>
      <c r="W27" s="177">
        <f t="shared" si="7"/>
        <v>13.917272727272728</v>
      </c>
      <c r="X27" s="176">
        <v>28</v>
      </c>
      <c r="Y27" s="177">
        <v>194.4</v>
      </c>
      <c r="Z27" s="197">
        <f t="shared" si="5"/>
        <v>6.9428571428571431</v>
      </c>
      <c r="AA27" s="175"/>
      <c r="AB27" s="176"/>
      <c r="AC27" s="176"/>
      <c r="AD27" s="176"/>
      <c r="AE27" s="176"/>
      <c r="AF27" s="179"/>
      <c r="AG27" s="198">
        <v>103</v>
      </c>
      <c r="AH27" s="104">
        <v>1173.48</v>
      </c>
      <c r="AI27" s="172">
        <f t="shared" si="8"/>
        <v>11.393009708737864</v>
      </c>
      <c r="AJ27" s="199">
        <f t="shared" si="6"/>
        <v>28016.355500000005</v>
      </c>
    </row>
    <row r="28" spans="1:36" x14ac:dyDescent="0.25">
      <c r="A28" s="163">
        <v>45892</v>
      </c>
      <c r="B28" s="175">
        <v>85</v>
      </c>
      <c r="C28" s="176">
        <v>95</v>
      </c>
      <c r="D28" s="176">
        <v>85</v>
      </c>
      <c r="E28" s="176"/>
      <c r="F28" s="165">
        <v>402</v>
      </c>
      <c r="G28" s="176"/>
      <c r="H28" s="165">
        <f t="shared" si="0"/>
        <v>249.8</v>
      </c>
      <c r="I28" s="177">
        <v>18072.660000000003</v>
      </c>
      <c r="J28" s="181">
        <f t="shared" si="1"/>
        <v>72.348518815052046</v>
      </c>
      <c r="K28" s="175">
        <v>47</v>
      </c>
      <c r="L28" s="177">
        <v>2660.27</v>
      </c>
      <c r="M28" s="178">
        <f t="shared" si="2"/>
        <v>56.601489361702129</v>
      </c>
      <c r="N28" s="164">
        <v>25</v>
      </c>
      <c r="O28" s="177">
        <v>1409.0709999999999</v>
      </c>
      <c r="P28" s="178">
        <f t="shared" si="3"/>
        <v>56.362839999999998</v>
      </c>
      <c r="Q28" s="164">
        <v>75</v>
      </c>
      <c r="R28" s="177">
        <v>4709.03</v>
      </c>
      <c r="S28" s="178">
        <f t="shared" si="4"/>
        <v>62.787066666666661</v>
      </c>
      <c r="T28" s="175"/>
      <c r="U28" s="176">
        <v>11</v>
      </c>
      <c r="V28" s="177">
        <v>153.57</v>
      </c>
      <c r="W28" s="177">
        <f t="shared" si="7"/>
        <v>13.960909090909091</v>
      </c>
      <c r="X28" s="176">
        <v>28</v>
      </c>
      <c r="Y28" s="177">
        <v>197.97</v>
      </c>
      <c r="Z28" s="197">
        <f t="shared" si="5"/>
        <v>7.0703571428571426</v>
      </c>
      <c r="AA28" s="175"/>
      <c r="AB28" s="176"/>
      <c r="AC28" s="176"/>
      <c r="AD28" s="176"/>
      <c r="AE28" s="176"/>
      <c r="AF28" s="179"/>
      <c r="AG28" s="198">
        <v>103</v>
      </c>
      <c r="AH28" s="104">
        <v>1153.2</v>
      </c>
      <c r="AI28" s="172">
        <f t="shared" si="8"/>
        <v>11.19611650485437</v>
      </c>
      <c r="AJ28" s="199">
        <f t="shared" si="6"/>
        <v>28355.771000000004</v>
      </c>
    </row>
    <row r="29" spans="1:36" x14ac:dyDescent="0.25">
      <c r="A29" s="163">
        <v>45893</v>
      </c>
      <c r="B29" s="175">
        <v>200</v>
      </c>
      <c r="C29" s="176">
        <v>210</v>
      </c>
      <c r="D29" s="176">
        <v>263</v>
      </c>
      <c r="E29" s="176"/>
      <c r="F29" s="165">
        <v>411</v>
      </c>
      <c r="G29" s="176"/>
      <c r="H29" s="165">
        <f t="shared" si="0"/>
        <v>393.6</v>
      </c>
      <c r="I29" s="177">
        <v>27184.455000000002</v>
      </c>
      <c r="J29" s="181">
        <f t="shared" si="1"/>
        <v>69.066196646341467</v>
      </c>
      <c r="K29" s="175">
        <v>47</v>
      </c>
      <c r="L29" s="177">
        <v>2477.25</v>
      </c>
      <c r="M29" s="178">
        <f t="shared" si="2"/>
        <v>52.707446808510639</v>
      </c>
      <c r="N29" s="164">
        <v>25</v>
      </c>
      <c r="O29" s="177">
        <v>1489.5900000000001</v>
      </c>
      <c r="P29" s="178">
        <f t="shared" si="3"/>
        <v>59.583600000000004</v>
      </c>
      <c r="Q29" s="164">
        <v>75</v>
      </c>
      <c r="R29" s="177">
        <v>4495.6000000000004</v>
      </c>
      <c r="S29" s="178">
        <f t="shared" si="4"/>
        <v>59.94133333333334</v>
      </c>
      <c r="T29" s="175"/>
      <c r="U29" s="176">
        <v>182</v>
      </c>
      <c r="V29" s="177">
        <v>2474.92</v>
      </c>
      <c r="W29" s="177">
        <f t="shared" si="7"/>
        <v>13.598461538461539</v>
      </c>
      <c r="X29" s="176">
        <v>125</v>
      </c>
      <c r="Y29" s="177">
        <v>853.02</v>
      </c>
      <c r="Z29" s="197">
        <f t="shared" si="5"/>
        <v>6.82416</v>
      </c>
      <c r="AA29" s="175"/>
      <c r="AB29" s="176"/>
      <c r="AC29" s="176"/>
      <c r="AD29" s="176"/>
      <c r="AE29" s="176"/>
      <c r="AF29" s="179"/>
      <c r="AG29" s="198">
        <v>103</v>
      </c>
      <c r="AH29" s="104">
        <v>1315.1599999999999</v>
      </c>
      <c r="AI29" s="172">
        <f t="shared" si="8"/>
        <v>12.768543689320387</v>
      </c>
      <c r="AJ29" s="199">
        <f t="shared" si="6"/>
        <v>40289.994999999995</v>
      </c>
    </row>
    <row r="30" spans="1:36" x14ac:dyDescent="0.25">
      <c r="A30" s="163">
        <v>45894</v>
      </c>
      <c r="B30" s="175">
        <v>200</v>
      </c>
      <c r="C30" s="176">
        <v>210</v>
      </c>
      <c r="D30" s="176">
        <v>285</v>
      </c>
      <c r="E30" s="176"/>
      <c r="F30" s="165">
        <v>411</v>
      </c>
      <c r="G30" s="176"/>
      <c r="H30" s="165">
        <f t="shared" si="0"/>
        <v>402.40000000000003</v>
      </c>
      <c r="I30" s="177">
        <v>29391.526200000008</v>
      </c>
      <c r="J30" s="181">
        <f t="shared" si="1"/>
        <v>73.040572067594439</v>
      </c>
      <c r="K30" s="175">
        <v>48</v>
      </c>
      <c r="L30" s="177">
        <v>3185.98</v>
      </c>
      <c r="M30" s="178">
        <f t="shared" si="2"/>
        <v>66.374583333333334</v>
      </c>
      <c r="N30" s="164">
        <v>25</v>
      </c>
      <c r="O30" s="177">
        <v>1398.0700000000002</v>
      </c>
      <c r="P30" s="178">
        <f t="shared" si="3"/>
        <v>55.922800000000009</v>
      </c>
      <c r="Q30" s="164">
        <v>75</v>
      </c>
      <c r="R30" s="177">
        <v>4616.18</v>
      </c>
      <c r="S30" s="178">
        <f t="shared" si="4"/>
        <v>61.549066666666668</v>
      </c>
      <c r="T30" s="175"/>
      <c r="U30" s="176">
        <v>50</v>
      </c>
      <c r="V30" s="177">
        <v>709.22</v>
      </c>
      <c r="W30" s="177">
        <f t="shared" si="7"/>
        <v>14.1844</v>
      </c>
      <c r="X30" s="176">
        <v>125</v>
      </c>
      <c r="Y30" s="177">
        <v>872.53</v>
      </c>
      <c r="Z30" s="197">
        <f t="shared" si="5"/>
        <v>6.9802400000000002</v>
      </c>
      <c r="AA30" s="175"/>
      <c r="AB30" s="176"/>
      <c r="AC30" s="176"/>
      <c r="AD30" s="176"/>
      <c r="AE30" s="176"/>
      <c r="AF30" s="179"/>
      <c r="AG30" s="198">
        <v>103</v>
      </c>
      <c r="AH30" s="104">
        <v>1140.75</v>
      </c>
      <c r="AI30" s="172">
        <f t="shared" si="8"/>
        <v>11.075242718446601</v>
      </c>
      <c r="AJ30" s="199">
        <f t="shared" si="6"/>
        <v>41314.256200000011</v>
      </c>
    </row>
    <row r="31" spans="1:36" x14ac:dyDescent="0.25">
      <c r="A31" s="163">
        <v>45895</v>
      </c>
      <c r="B31" s="175">
        <v>200</v>
      </c>
      <c r="C31" s="176">
        <v>210</v>
      </c>
      <c r="D31" s="176">
        <v>205</v>
      </c>
      <c r="E31" s="176"/>
      <c r="F31" s="165">
        <v>411</v>
      </c>
      <c r="G31" s="176"/>
      <c r="H31" s="165">
        <f t="shared" si="0"/>
        <v>370.40000000000003</v>
      </c>
      <c r="I31" s="177">
        <v>25681.719999999998</v>
      </c>
      <c r="J31" s="181">
        <f t="shared" si="1"/>
        <v>69.335097192224609</v>
      </c>
      <c r="K31" s="175">
        <v>48</v>
      </c>
      <c r="L31" s="177">
        <v>3085.45</v>
      </c>
      <c r="M31" s="178">
        <f t="shared" si="2"/>
        <v>64.280208333333334</v>
      </c>
      <c r="N31" s="164">
        <v>25</v>
      </c>
      <c r="O31" s="177">
        <v>1336.8000000000002</v>
      </c>
      <c r="P31" s="178">
        <f t="shared" si="3"/>
        <v>53.472000000000008</v>
      </c>
      <c r="Q31" s="164">
        <v>75</v>
      </c>
      <c r="R31" s="177">
        <v>4241.4400000000005</v>
      </c>
      <c r="S31" s="178">
        <f t="shared" si="4"/>
        <v>56.552533333333344</v>
      </c>
      <c r="T31" s="175"/>
      <c r="U31" s="176">
        <v>65</v>
      </c>
      <c r="V31" s="176">
        <v>904.24</v>
      </c>
      <c r="W31" s="177">
        <f t="shared" si="7"/>
        <v>13.911384615384616</v>
      </c>
      <c r="X31" s="176">
        <v>125</v>
      </c>
      <c r="Y31" s="177">
        <v>881.28000000000009</v>
      </c>
      <c r="Z31" s="197">
        <f t="shared" si="5"/>
        <v>7.0502400000000005</v>
      </c>
      <c r="AA31" s="175"/>
      <c r="AB31" s="176"/>
      <c r="AC31" s="176"/>
      <c r="AD31" s="176"/>
      <c r="AE31" s="176"/>
      <c r="AF31" s="179"/>
      <c r="AG31" s="198">
        <v>103</v>
      </c>
      <c r="AH31" s="104">
        <v>1124.5999999999999</v>
      </c>
      <c r="AI31" s="172">
        <f t="shared" si="8"/>
        <v>10.918446601941747</v>
      </c>
      <c r="AJ31" s="199">
        <f t="shared" si="6"/>
        <v>37255.529999999992</v>
      </c>
    </row>
    <row r="32" spans="1:36" x14ac:dyDescent="0.25">
      <c r="A32" s="163">
        <v>45896</v>
      </c>
      <c r="B32" s="175">
        <v>200</v>
      </c>
      <c r="C32" s="176">
        <v>210</v>
      </c>
      <c r="D32" s="176">
        <v>205</v>
      </c>
      <c r="E32" s="176"/>
      <c r="F32" s="165">
        <v>411</v>
      </c>
      <c r="G32" s="176"/>
      <c r="H32" s="165">
        <f>B32*0.2+SUM(C32:F32)*0.4</f>
        <v>370.40000000000003</v>
      </c>
      <c r="I32" s="177">
        <v>31200.578399999995</v>
      </c>
      <c r="J32" s="181">
        <f t="shared" si="1"/>
        <v>84.234822894168445</v>
      </c>
      <c r="K32" s="175">
        <v>48</v>
      </c>
      <c r="L32" s="177">
        <v>3185.45</v>
      </c>
      <c r="M32" s="178">
        <f t="shared" si="2"/>
        <v>66.363541666666663</v>
      </c>
      <c r="N32" s="164">
        <v>25</v>
      </c>
      <c r="O32" s="177">
        <v>1548.04</v>
      </c>
      <c r="P32" s="178">
        <f t="shared" si="3"/>
        <v>61.921599999999998</v>
      </c>
      <c r="Q32" s="164">
        <v>75</v>
      </c>
      <c r="R32" s="177">
        <v>4506.93</v>
      </c>
      <c r="S32" s="178">
        <f t="shared" si="4"/>
        <v>60.092400000000005</v>
      </c>
      <c r="T32" s="175"/>
      <c r="U32" s="176">
        <v>195</v>
      </c>
      <c r="V32" s="177">
        <v>2733.51</v>
      </c>
      <c r="W32" s="177">
        <f t="shared" si="7"/>
        <v>14.018000000000001</v>
      </c>
      <c r="X32" s="176">
        <v>125</v>
      </c>
      <c r="Y32" s="177">
        <v>876.78</v>
      </c>
      <c r="Z32" s="197">
        <f t="shared" si="5"/>
        <v>7.01424</v>
      </c>
      <c r="AA32" s="175"/>
      <c r="AB32" s="176"/>
      <c r="AC32" s="176"/>
      <c r="AD32" s="176"/>
      <c r="AE32" s="176"/>
      <c r="AF32" s="179"/>
      <c r="AG32" s="198">
        <v>103</v>
      </c>
      <c r="AH32" s="104">
        <v>1029.08</v>
      </c>
      <c r="AI32" s="172">
        <f t="shared" si="8"/>
        <v>9.9910679611650473</v>
      </c>
      <c r="AJ32" s="199">
        <f t="shared" si="6"/>
        <v>45080.368399999999</v>
      </c>
    </row>
    <row r="33" spans="1:36" x14ac:dyDescent="0.25">
      <c r="A33" s="163">
        <v>45897</v>
      </c>
      <c r="B33" s="175">
        <v>200</v>
      </c>
      <c r="C33" s="176">
        <v>210</v>
      </c>
      <c r="D33" s="176">
        <v>205</v>
      </c>
      <c r="E33" s="176"/>
      <c r="F33" s="165">
        <v>411</v>
      </c>
      <c r="G33" s="185"/>
      <c r="H33" s="165">
        <f>B33*0.2+SUM(C33:F33)*0.4</f>
        <v>370.40000000000003</v>
      </c>
      <c r="I33" s="187">
        <v>24012.190000000002</v>
      </c>
      <c r="J33" s="181">
        <f t="shared" si="1"/>
        <v>64.82772678185745</v>
      </c>
      <c r="K33" s="175">
        <v>48</v>
      </c>
      <c r="L33" s="177">
        <v>3065.45</v>
      </c>
      <c r="M33" s="178">
        <f t="shared" si="2"/>
        <v>63.863541666666663</v>
      </c>
      <c r="N33" s="164">
        <v>25</v>
      </c>
      <c r="O33" s="187">
        <v>1550.72</v>
      </c>
      <c r="P33" s="178">
        <f t="shared" si="3"/>
        <v>62.028800000000004</v>
      </c>
      <c r="Q33" s="164">
        <v>75</v>
      </c>
      <c r="R33" s="187">
        <v>4218.82</v>
      </c>
      <c r="S33" s="178">
        <f t="shared" si="4"/>
        <v>56.250933333333329</v>
      </c>
      <c r="T33" s="184"/>
      <c r="U33" s="185">
        <v>35</v>
      </c>
      <c r="V33" s="187">
        <v>489.51</v>
      </c>
      <c r="W33" s="177">
        <f t="shared" si="7"/>
        <v>13.985999999999999</v>
      </c>
      <c r="X33" s="176">
        <v>125</v>
      </c>
      <c r="Y33" s="187">
        <v>858.19</v>
      </c>
      <c r="Z33" s="197">
        <f t="shared" si="5"/>
        <v>6.8655200000000001</v>
      </c>
      <c r="AA33" s="184"/>
      <c r="AB33" s="185"/>
      <c r="AC33" s="185"/>
      <c r="AD33" s="185"/>
      <c r="AE33" s="185"/>
      <c r="AF33" s="188"/>
      <c r="AG33" s="198">
        <v>103</v>
      </c>
      <c r="AH33" s="190">
        <v>1120.5499999999997</v>
      </c>
      <c r="AI33" s="172">
        <f t="shared" si="8"/>
        <v>10.87912621359223</v>
      </c>
      <c r="AJ33" s="199">
        <f t="shared" si="6"/>
        <v>35315.430000000015</v>
      </c>
    </row>
    <row r="34" spans="1:36" x14ac:dyDescent="0.25">
      <c r="A34" s="163">
        <v>45898</v>
      </c>
      <c r="B34" s="175">
        <v>85</v>
      </c>
      <c r="C34" s="176">
        <v>95</v>
      </c>
      <c r="D34" s="185">
        <v>85</v>
      </c>
      <c r="E34" s="176"/>
      <c r="F34" s="165">
        <v>402</v>
      </c>
      <c r="G34" s="185"/>
      <c r="H34" s="165">
        <f>B34*0.2+SUM(C34:F34)*0.4</f>
        <v>249.8</v>
      </c>
      <c r="I34" s="187">
        <v>16098.340000000002</v>
      </c>
      <c r="J34" s="181">
        <f t="shared" si="1"/>
        <v>64.444915932746198</v>
      </c>
      <c r="K34" s="175">
        <v>48</v>
      </c>
      <c r="L34" s="187">
        <v>2596.13</v>
      </c>
      <c r="M34" s="178">
        <f t="shared" si="2"/>
        <v>54.086041666666667</v>
      </c>
      <c r="N34" s="164">
        <v>25</v>
      </c>
      <c r="O34" s="187">
        <v>1331.67</v>
      </c>
      <c r="P34" s="178">
        <f t="shared" si="3"/>
        <v>53.266800000000003</v>
      </c>
      <c r="Q34" s="164">
        <v>75</v>
      </c>
      <c r="R34" s="187">
        <v>3987.45</v>
      </c>
      <c r="S34" s="178">
        <f t="shared" si="4"/>
        <v>53.165999999999997</v>
      </c>
      <c r="T34" s="184"/>
      <c r="U34" s="185">
        <v>28</v>
      </c>
      <c r="V34" s="187">
        <v>387.82</v>
      </c>
      <c r="W34" s="177">
        <f t="shared" si="7"/>
        <v>13.850714285714286</v>
      </c>
      <c r="X34" s="176">
        <v>125</v>
      </c>
      <c r="Y34" s="187">
        <v>889.80000000000018</v>
      </c>
      <c r="Z34" s="197">
        <f t="shared" si="5"/>
        <v>7.1184000000000012</v>
      </c>
      <c r="AA34" s="184"/>
      <c r="AB34" s="185"/>
      <c r="AC34" s="185"/>
      <c r="AD34" s="185"/>
      <c r="AE34" s="185"/>
      <c r="AF34" s="188"/>
      <c r="AG34" s="198">
        <v>103</v>
      </c>
      <c r="AH34" s="190">
        <v>1205.5999999999999</v>
      </c>
      <c r="AI34" s="172">
        <f t="shared" si="8"/>
        <v>11.704854368932038</v>
      </c>
      <c r="AJ34" s="199">
        <f t="shared" si="6"/>
        <v>26496.809999999998</v>
      </c>
    </row>
    <row r="35" spans="1:36" x14ac:dyDescent="0.25">
      <c r="A35" s="163">
        <v>45899</v>
      </c>
      <c r="B35" s="175">
        <v>85</v>
      </c>
      <c r="C35" s="176">
        <v>95</v>
      </c>
      <c r="D35" s="185">
        <v>85</v>
      </c>
      <c r="E35" s="176"/>
      <c r="F35" s="165">
        <v>402</v>
      </c>
      <c r="G35" s="185"/>
      <c r="H35" s="165">
        <f>B35*0.2+SUM(C35:F35)*0.4</f>
        <v>249.8</v>
      </c>
      <c r="I35" s="187">
        <v>22947.312999999995</v>
      </c>
      <c r="J35" s="181">
        <f t="shared" si="1"/>
        <v>91.862742193754983</v>
      </c>
      <c r="K35" s="175">
        <v>48</v>
      </c>
      <c r="L35" s="187">
        <v>2637.75</v>
      </c>
      <c r="M35" s="178">
        <f t="shared" si="2"/>
        <v>54.953125</v>
      </c>
      <c r="N35" s="164">
        <v>25</v>
      </c>
      <c r="O35" s="187">
        <v>1646.8400000000001</v>
      </c>
      <c r="P35" s="178">
        <f t="shared" si="3"/>
        <v>65.87360000000001</v>
      </c>
      <c r="Q35" s="164">
        <v>75</v>
      </c>
      <c r="R35" s="187">
        <v>4682.5599999999986</v>
      </c>
      <c r="S35" s="178">
        <f t="shared" si="4"/>
        <v>62.434133333333314</v>
      </c>
      <c r="T35" s="184"/>
      <c r="U35" s="185">
        <v>28</v>
      </c>
      <c r="V35" s="187">
        <v>380.82</v>
      </c>
      <c r="W35" s="177">
        <f t="shared" si="7"/>
        <v>13.600714285714286</v>
      </c>
      <c r="X35" s="176">
        <v>125</v>
      </c>
      <c r="Y35" s="187">
        <v>868.99999999999989</v>
      </c>
      <c r="Z35" s="197">
        <f t="shared" si="5"/>
        <v>6.9519999999999991</v>
      </c>
      <c r="AA35" s="184"/>
      <c r="AB35" s="185"/>
      <c r="AC35" s="185"/>
      <c r="AD35" s="185"/>
      <c r="AE35" s="185"/>
      <c r="AF35" s="188"/>
      <c r="AG35" s="198">
        <v>103</v>
      </c>
      <c r="AH35" s="190">
        <v>1216.8899999999999</v>
      </c>
      <c r="AI35" s="172">
        <f t="shared" si="8"/>
        <v>11.814466019417475</v>
      </c>
      <c r="AJ35" s="199"/>
    </row>
    <row r="36" spans="1:36" ht="15.75" thickBot="1" x14ac:dyDescent="0.3">
      <c r="A36" s="163">
        <v>45900</v>
      </c>
      <c r="B36" s="175">
        <v>200</v>
      </c>
      <c r="C36" s="176">
        <v>210</v>
      </c>
      <c r="D36" s="185">
        <v>243</v>
      </c>
      <c r="E36" s="176"/>
      <c r="F36" s="165">
        <v>411</v>
      </c>
      <c r="G36" s="185"/>
      <c r="H36" s="165">
        <f>B36*0.2+SUM(C36:F36)*0.4</f>
        <v>385.6</v>
      </c>
      <c r="I36" s="187">
        <v>35245.81500000001</v>
      </c>
      <c r="J36" s="181">
        <f t="shared" si="1"/>
        <v>91.405121887966828</v>
      </c>
      <c r="K36" s="175">
        <v>48</v>
      </c>
      <c r="L36" s="187">
        <v>2742.4500000000007</v>
      </c>
      <c r="M36" s="178">
        <f t="shared" si="2"/>
        <v>57.134375000000013</v>
      </c>
      <c r="N36" s="164">
        <v>25</v>
      </c>
      <c r="O36" s="187">
        <v>1959.36</v>
      </c>
      <c r="P36" s="178">
        <f t="shared" si="3"/>
        <v>78.374399999999994</v>
      </c>
      <c r="Q36" s="164">
        <v>75</v>
      </c>
      <c r="R36" s="187">
        <v>4929.2000000000007</v>
      </c>
      <c r="S36" s="178">
        <f t="shared" si="4"/>
        <v>65.722666666666683</v>
      </c>
      <c r="T36" s="184"/>
      <c r="U36" s="185">
        <v>35</v>
      </c>
      <c r="V36" s="187">
        <v>471.24</v>
      </c>
      <c r="W36" s="177">
        <f t="shared" si="7"/>
        <v>13.464</v>
      </c>
      <c r="X36" s="176">
        <v>125</v>
      </c>
      <c r="Y36" s="187">
        <v>853.82</v>
      </c>
      <c r="Z36" s="197">
        <f t="shared" si="5"/>
        <v>6.8305600000000002</v>
      </c>
      <c r="AA36" s="184"/>
      <c r="AB36" s="185"/>
      <c r="AC36" s="185"/>
      <c r="AD36" s="185"/>
      <c r="AE36" s="185"/>
      <c r="AF36" s="188"/>
      <c r="AG36" s="198">
        <v>103</v>
      </c>
      <c r="AH36" s="190">
        <v>1188</v>
      </c>
      <c r="AI36" s="172">
        <f t="shared" si="8"/>
        <v>11.533980582524272</v>
      </c>
      <c r="AJ36" s="199">
        <f t="shared" si="6"/>
        <v>47389.885000000009</v>
      </c>
    </row>
    <row r="37" spans="1:36" s="39" customFormat="1" ht="26.25" thickBot="1" x14ac:dyDescent="0.3">
      <c r="A37" s="202" t="s">
        <v>77</v>
      </c>
      <c r="B37" s="195">
        <f t="shared" ref="B37:I37" si="9">SUM(B6:B36)</f>
        <v>5050</v>
      </c>
      <c r="C37" s="195">
        <f t="shared" si="9"/>
        <v>5360</v>
      </c>
      <c r="D37" s="195">
        <f t="shared" si="9"/>
        <v>5690</v>
      </c>
      <c r="E37" s="195">
        <f t="shared" si="9"/>
        <v>0</v>
      </c>
      <c r="F37" s="195">
        <f t="shared" si="9"/>
        <v>12703</v>
      </c>
      <c r="G37" s="195">
        <f t="shared" si="9"/>
        <v>0</v>
      </c>
      <c r="H37" s="195">
        <f t="shared" si="9"/>
        <v>10511.199999999999</v>
      </c>
      <c r="I37" s="195">
        <f t="shared" si="9"/>
        <v>758208.14365999994</v>
      </c>
      <c r="J37" s="195">
        <f>I37/H37</f>
        <v>72.133357148565338</v>
      </c>
      <c r="K37" s="195">
        <f>SUM(K6:K36)</f>
        <v>1442</v>
      </c>
      <c r="L37" s="195">
        <f>SUM(L6:L36)</f>
        <v>82384.335600000006</v>
      </c>
      <c r="M37" s="195">
        <f>L37/K37</f>
        <v>57.131994174757288</v>
      </c>
      <c r="N37" s="195">
        <f>SUM(N6:N36)</f>
        <v>775</v>
      </c>
      <c r="O37" s="195">
        <f>SUM(O6:O36)</f>
        <v>48060.141000000003</v>
      </c>
      <c r="P37" s="195">
        <f>O37/N37</f>
        <v>62.013085161290327</v>
      </c>
      <c r="Q37" s="195">
        <f>SUM(Q6:Q36)</f>
        <v>2325</v>
      </c>
      <c r="R37" s="195">
        <f>SUM(R6:R36)</f>
        <v>129696.96970000002</v>
      </c>
      <c r="S37" s="195">
        <f>R37/Q37</f>
        <v>55.783642881720439</v>
      </c>
      <c r="T37" s="195">
        <f>SUM(T6:T36)</f>
        <v>0</v>
      </c>
      <c r="U37" s="195">
        <f>SUM(U6:U36)</f>
        <v>1697</v>
      </c>
      <c r="V37" s="195">
        <f>SUM(V6:V36)</f>
        <v>23500.925000000003</v>
      </c>
      <c r="W37" s="195"/>
      <c r="X37" s="195">
        <f t="shared" ref="X37:AH37" si="10">SUM(X6:X36)</f>
        <v>3035</v>
      </c>
      <c r="Y37" s="195">
        <f t="shared" si="10"/>
        <v>21180.289999999997</v>
      </c>
      <c r="Z37" s="195">
        <f t="shared" si="10"/>
        <v>216.53375111156564</v>
      </c>
      <c r="AA37" s="195">
        <f t="shared" si="10"/>
        <v>0</v>
      </c>
      <c r="AB37" s="195">
        <f t="shared" si="10"/>
        <v>0</v>
      </c>
      <c r="AC37" s="195">
        <f t="shared" si="10"/>
        <v>0</v>
      </c>
      <c r="AD37" s="195">
        <f t="shared" si="10"/>
        <v>0</v>
      </c>
      <c r="AE37" s="195">
        <f t="shared" si="10"/>
        <v>0</v>
      </c>
      <c r="AF37" s="195" t="e">
        <f t="shared" si="10"/>
        <v>#DIV/0!</v>
      </c>
      <c r="AG37" s="195">
        <f t="shared" si="10"/>
        <v>3164</v>
      </c>
      <c r="AH37" s="195">
        <f t="shared" si="10"/>
        <v>36234.269999999997</v>
      </c>
      <c r="AI37" s="195">
        <f>AH37/AG37</f>
        <v>11.45204487989886</v>
      </c>
      <c r="AJ37" s="203">
        <f>SUM(AJ6:AJ36)</f>
        <v>1064883.9019600002</v>
      </c>
    </row>
  </sheetData>
  <sheetProtection algorithmName="SHA-512" hashValue="OVWyH+1dx5PsdSVsMq7+opYtea5NfjbSkH1+f2tV0j8HxNekVRtg880/fMyxhBsZb16YPkm9tcRRuimvDVnwcw==" saltValue="xnKGPRS0ZIHYmbVYslHzUw==" spinCount="100000" sheet="1" scenarios="1" sort="0" autoFilter="0"/>
  <mergeCells count="10">
    <mergeCell ref="A1:AJ1"/>
    <mergeCell ref="A2:AJ2"/>
    <mergeCell ref="A3:AJ3"/>
    <mergeCell ref="B4:J4"/>
    <mergeCell ref="K4:M4"/>
    <mergeCell ref="N4:P4"/>
    <mergeCell ref="Q4:S4"/>
    <mergeCell ref="T4:Z4"/>
    <mergeCell ref="AA4:AF4"/>
    <mergeCell ref="AG4:A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B2C5-8E62-4BC0-894C-DF8A98FA90F9}">
  <dimension ref="A1:AJ36"/>
  <sheetViews>
    <sheetView zoomScale="80" zoomScaleNormal="80" workbookViewId="0">
      <selection activeCell="S37" sqref="S37"/>
    </sheetView>
  </sheetViews>
  <sheetFormatPr defaultRowHeight="15" x14ac:dyDescent="0.25"/>
  <cols>
    <col min="2" max="4" width="10.140625" bestFit="1" customWidth="1"/>
    <col min="6" max="6" width="11.28515625" bestFit="1" customWidth="1"/>
    <col min="8" max="8" width="11.28515625" bestFit="1" customWidth="1"/>
    <col min="9" max="9" width="12.28515625" bestFit="1" customWidth="1"/>
    <col min="10" max="10" width="13" bestFit="1" customWidth="1"/>
    <col min="11" max="11" width="10.140625" bestFit="1" customWidth="1"/>
    <col min="12" max="12" width="11.28515625" bestFit="1" customWidth="1"/>
    <col min="13" max="13" width="13" bestFit="1" customWidth="1"/>
    <col min="15" max="15" width="11.28515625" bestFit="1" customWidth="1"/>
    <col min="17" max="17" width="10.140625" bestFit="1" customWidth="1"/>
    <col min="18" max="18" width="12.28515625" bestFit="1" customWidth="1"/>
    <col min="21" max="21" width="10.140625" bestFit="1" customWidth="1"/>
    <col min="22" max="22" width="11.28515625" bestFit="1" customWidth="1"/>
    <col min="24" max="24" width="10.140625" bestFit="1" customWidth="1"/>
    <col min="25" max="25" width="11.28515625" bestFit="1" customWidth="1"/>
    <col min="33" max="33" width="13.85546875" bestFit="1" customWidth="1"/>
    <col min="34" max="34" width="11.28515625" bestFit="1" customWidth="1"/>
    <col min="36" max="36" width="13.85546875" bestFit="1" customWidth="1"/>
  </cols>
  <sheetData>
    <row r="1" spans="1:36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36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36" ht="21.75" thickBot="1" x14ac:dyDescent="0.4">
      <c r="A3" s="308" t="s">
        <v>85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36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63</v>
      </c>
      <c r="O4" s="315"/>
      <c r="P4" s="318"/>
      <c r="Q4" s="314" t="s">
        <v>64</v>
      </c>
      <c r="R4" s="315"/>
      <c r="S4" s="318"/>
      <c r="T4" s="314" t="s">
        <v>65</v>
      </c>
      <c r="U4" s="315"/>
      <c r="V4" s="315"/>
      <c r="W4" s="315"/>
      <c r="X4" s="315"/>
      <c r="Y4" s="315"/>
      <c r="Z4" s="318"/>
      <c r="AA4" s="378" t="s">
        <v>66</v>
      </c>
      <c r="AB4" s="379"/>
      <c r="AC4" s="379"/>
      <c r="AD4" s="379"/>
      <c r="AE4" s="379"/>
      <c r="AF4" s="380"/>
      <c r="AG4" s="320" t="s">
        <v>67</v>
      </c>
      <c r="AH4" s="321"/>
      <c r="AI4" s="322"/>
      <c r="AJ4" s="144" t="s">
        <v>68</v>
      </c>
    </row>
    <row r="5" spans="1:36" ht="39.75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48" t="s">
        <v>69</v>
      </c>
      <c r="O5" s="149" t="s">
        <v>0</v>
      </c>
      <c r="P5" s="150" t="s">
        <v>70</v>
      </c>
      <c r="Q5" s="148" t="s">
        <v>69</v>
      </c>
      <c r="R5" s="149" t="s">
        <v>0</v>
      </c>
      <c r="S5" s="150" t="s">
        <v>70</v>
      </c>
      <c r="T5" s="151" t="s">
        <v>71</v>
      </c>
      <c r="U5" s="152" t="s">
        <v>72</v>
      </c>
      <c r="V5" s="152" t="s">
        <v>73</v>
      </c>
      <c r="W5" s="152" t="s">
        <v>79</v>
      </c>
      <c r="X5" s="153" t="s">
        <v>21</v>
      </c>
      <c r="Y5" s="153" t="s">
        <v>74</v>
      </c>
      <c r="Z5" s="154" t="s">
        <v>16</v>
      </c>
      <c r="AA5" s="155" t="s">
        <v>2</v>
      </c>
      <c r="AB5" s="156" t="s">
        <v>3</v>
      </c>
      <c r="AC5" s="156" t="s">
        <v>4</v>
      </c>
      <c r="AD5" s="157" t="s">
        <v>69</v>
      </c>
      <c r="AE5" s="158" t="s">
        <v>0</v>
      </c>
      <c r="AF5" s="159" t="s">
        <v>70</v>
      </c>
      <c r="AG5" s="160" t="s">
        <v>75</v>
      </c>
      <c r="AH5" s="161" t="s">
        <v>30</v>
      </c>
      <c r="AI5" s="162" t="s">
        <v>76</v>
      </c>
      <c r="AJ5" s="144" t="s">
        <v>68</v>
      </c>
    </row>
    <row r="6" spans="1:36" x14ac:dyDescent="0.25">
      <c r="A6" s="163">
        <v>45901</v>
      </c>
      <c r="B6" s="164">
        <v>200</v>
      </c>
      <c r="C6" s="165">
        <v>210</v>
      </c>
      <c r="D6" s="165">
        <v>214</v>
      </c>
      <c r="E6" s="165"/>
      <c r="F6" s="165">
        <v>411</v>
      </c>
      <c r="G6" s="165"/>
      <c r="H6" s="165">
        <f>B6*0.2+SUM(C6:F6)*0.4</f>
        <v>374</v>
      </c>
      <c r="I6" s="167">
        <v>30715.135000000002</v>
      </c>
      <c r="J6" s="166">
        <f>I6/H6</f>
        <v>82.126029411764705</v>
      </c>
      <c r="K6" s="164">
        <v>44</v>
      </c>
      <c r="L6" s="177">
        <v>2406.12</v>
      </c>
      <c r="M6" s="168">
        <f>L6/K6</f>
        <v>54.68454545454545</v>
      </c>
      <c r="N6" s="164">
        <v>25</v>
      </c>
      <c r="O6" s="167">
        <v>1804.1</v>
      </c>
      <c r="P6" s="168">
        <f>O6/N6</f>
        <v>72.164000000000001</v>
      </c>
      <c r="Q6" s="164">
        <v>75</v>
      </c>
      <c r="R6" s="167">
        <v>4006.299</v>
      </c>
      <c r="S6" s="168">
        <f>R6/Q6</f>
        <v>53.417319999999997</v>
      </c>
      <c r="T6" s="164"/>
      <c r="U6" s="165">
        <v>47</v>
      </c>
      <c r="V6" s="165">
        <v>657.09</v>
      </c>
      <c r="W6" s="177">
        <f>V6/U6</f>
        <v>13.980638297872341</v>
      </c>
      <c r="X6" s="165">
        <v>125</v>
      </c>
      <c r="Y6" s="167">
        <v>871.06</v>
      </c>
      <c r="Z6" s="197">
        <f>Y6/X6</f>
        <v>6.9684799999999996</v>
      </c>
      <c r="AA6" s="164"/>
      <c r="AB6" s="165"/>
      <c r="AC6" s="165"/>
      <c r="AD6" s="165"/>
      <c r="AE6" s="165"/>
      <c r="AF6" s="169" t="e">
        <f>AE6/AD6</f>
        <v>#DIV/0!</v>
      </c>
      <c r="AG6" s="198">
        <v>106</v>
      </c>
      <c r="AH6" s="171">
        <v>1259.2199999999998</v>
      </c>
      <c r="AI6" s="172">
        <f>AH6/AG6</f>
        <v>11.87943396226415</v>
      </c>
      <c r="AJ6" s="199">
        <f>I6+L6+O6+R6+V6+Y6+AH6</f>
        <v>41719.023999999998</v>
      </c>
    </row>
    <row r="7" spans="1:36" x14ac:dyDescent="0.25">
      <c r="A7" s="163">
        <v>45902</v>
      </c>
      <c r="B7" s="164">
        <v>200</v>
      </c>
      <c r="C7" s="165">
        <v>210</v>
      </c>
      <c r="D7" s="165">
        <v>205</v>
      </c>
      <c r="E7" s="176"/>
      <c r="F7" s="165">
        <v>411</v>
      </c>
      <c r="G7" s="176"/>
      <c r="H7" s="165">
        <f t="shared" ref="H7:H32" si="0">B7*0.2+SUM(C7:F7)*0.4</f>
        <v>370.40000000000003</v>
      </c>
      <c r="I7" s="177">
        <v>29440.54</v>
      </c>
      <c r="J7" s="166">
        <f t="shared" ref="J7:J35" si="1">I7/H7</f>
        <v>79.483099352051838</v>
      </c>
      <c r="K7" s="175">
        <v>47</v>
      </c>
      <c r="L7" s="177">
        <v>2909.01</v>
      </c>
      <c r="M7" s="178">
        <f t="shared" ref="M7:M35" si="2">L7/K7</f>
        <v>61.893829787234047</v>
      </c>
      <c r="N7" s="164">
        <v>25</v>
      </c>
      <c r="O7" s="177">
        <v>3435.08</v>
      </c>
      <c r="P7" s="178">
        <f t="shared" ref="P7:P35" si="3">O7/N7</f>
        <v>137.4032</v>
      </c>
      <c r="Q7" s="164">
        <v>75</v>
      </c>
      <c r="R7" s="177">
        <v>4681.674</v>
      </c>
      <c r="S7" s="178">
        <f t="shared" ref="S7:S35" si="4">R7/Q7</f>
        <v>62.422319999999999</v>
      </c>
      <c r="T7" s="175"/>
      <c r="U7" s="165">
        <v>35</v>
      </c>
      <c r="V7" s="200">
        <v>487.95</v>
      </c>
      <c r="W7" s="177">
        <f>V7/U7</f>
        <v>13.94142857142857</v>
      </c>
      <c r="X7" s="176">
        <v>125</v>
      </c>
      <c r="Y7" s="167">
        <v>865.94999999999993</v>
      </c>
      <c r="Z7" s="197">
        <f t="shared" ref="Z7:Z35" si="5">Y7/X7</f>
        <v>6.9275999999999991</v>
      </c>
      <c r="AA7" s="175"/>
      <c r="AB7" s="176"/>
      <c r="AC7" s="176"/>
      <c r="AD7" s="176"/>
      <c r="AE7" s="176"/>
      <c r="AF7" s="179"/>
      <c r="AG7" s="198">
        <v>106</v>
      </c>
      <c r="AH7" s="104">
        <v>1167.56</v>
      </c>
      <c r="AI7" s="172">
        <f>AH7/AG7</f>
        <v>11.014716981132075</v>
      </c>
      <c r="AJ7" s="199">
        <f t="shared" ref="AJ7:AJ35" si="6">I7+L7+O7+R7+V7+Y7+AH7</f>
        <v>42987.763999999996</v>
      </c>
    </row>
    <row r="8" spans="1:36" x14ac:dyDescent="0.25">
      <c r="A8" s="163">
        <v>45903</v>
      </c>
      <c r="B8" s="164">
        <v>200</v>
      </c>
      <c r="C8" s="165">
        <v>210</v>
      </c>
      <c r="D8" s="165">
        <v>205</v>
      </c>
      <c r="E8" s="176"/>
      <c r="F8" s="165">
        <v>411</v>
      </c>
      <c r="G8" s="176"/>
      <c r="H8" s="165">
        <f t="shared" si="0"/>
        <v>370.40000000000003</v>
      </c>
      <c r="I8" s="177">
        <v>29311.7745</v>
      </c>
      <c r="J8" s="166">
        <f t="shared" si="1"/>
        <v>79.135460313174931</v>
      </c>
      <c r="K8" s="175">
        <v>48</v>
      </c>
      <c r="L8" s="177">
        <v>2224.33</v>
      </c>
      <c r="M8" s="178">
        <f t="shared" si="2"/>
        <v>46.340208333333329</v>
      </c>
      <c r="N8" s="164">
        <v>25</v>
      </c>
      <c r="O8" s="177">
        <v>1192.6399999999999</v>
      </c>
      <c r="P8" s="178">
        <f t="shared" si="3"/>
        <v>47.705599999999997</v>
      </c>
      <c r="Q8" s="164">
        <v>75</v>
      </c>
      <c r="R8" s="177">
        <v>4045.6599999999994</v>
      </c>
      <c r="S8" s="178">
        <f t="shared" si="4"/>
        <v>53.942133333333324</v>
      </c>
      <c r="T8" s="175"/>
      <c r="U8" s="165">
        <v>35</v>
      </c>
      <c r="V8" s="177">
        <v>490.62</v>
      </c>
      <c r="W8" s="177">
        <f>V8/U8</f>
        <v>14.017714285714286</v>
      </c>
      <c r="X8" s="176">
        <v>125</v>
      </c>
      <c r="Y8" s="167">
        <v>879.08999999999992</v>
      </c>
      <c r="Z8" s="197">
        <f t="shared" si="5"/>
        <v>7.0327199999999994</v>
      </c>
      <c r="AA8" s="175"/>
      <c r="AB8" s="176"/>
      <c r="AC8" s="176"/>
      <c r="AD8" s="176"/>
      <c r="AE8" s="176"/>
      <c r="AF8" s="179"/>
      <c r="AG8" s="198">
        <v>106</v>
      </c>
      <c r="AH8" s="104">
        <v>1122.3699999999999</v>
      </c>
      <c r="AI8" s="172">
        <f>AH8/AG8</f>
        <v>10.588396226415094</v>
      </c>
      <c r="AJ8" s="199">
        <f>I8+L8+O8+R8+V8+Y8+AH8</f>
        <v>39266.484499999999</v>
      </c>
    </row>
    <row r="9" spans="1:36" x14ac:dyDescent="0.25">
      <c r="A9" s="163">
        <v>45904</v>
      </c>
      <c r="B9" s="164">
        <v>200</v>
      </c>
      <c r="C9" s="165">
        <v>210</v>
      </c>
      <c r="D9" s="165">
        <v>205</v>
      </c>
      <c r="E9" s="176"/>
      <c r="F9" s="165">
        <v>411</v>
      </c>
      <c r="G9" s="176"/>
      <c r="H9" s="165">
        <f t="shared" si="0"/>
        <v>370.40000000000003</v>
      </c>
      <c r="I9" s="177">
        <v>29993.720000000005</v>
      </c>
      <c r="J9" s="181">
        <f t="shared" si="1"/>
        <v>80.976565874730028</v>
      </c>
      <c r="K9" s="175">
        <v>48</v>
      </c>
      <c r="L9" s="205">
        <v>2145.9650000000001</v>
      </c>
      <c r="M9" s="178">
        <f t="shared" si="2"/>
        <v>44.70760416666667</v>
      </c>
      <c r="N9" s="164">
        <v>25</v>
      </c>
      <c r="O9" s="177">
        <v>2004.5</v>
      </c>
      <c r="P9" s="178">
        <f t="shared" si="3"/>
        <v>80.180000000000007</v>
      </c>
      <c r="Q9" s="164">
        <v>75</v>
      </c>
      <c r="R9" s="177">
        <v>3786.7</v>
      </c>
      <c r="S9" s="178">
        <f t="shared" si="4"/>
        <v>50.489333333333327</v>
      </c>
      <c r="T9" s="175"/>
      <c r="U9" s="165">
        <v>35</v>
      </c>
      <c r="V9" s="177">
        <v>478.5</v>
      </c>
      <c r="W9" s="177">
        <f t="shared" ref="W9:W35" si="7">V9/U9</f>
        <v>13.671428571428571</v>
      </c>
      <c r="X9" s="176">
        <v>125</v>
      </c>
      <c r="Y9" s="167">
        <v>860.32999999999993</v>
      </c>
      <c r="Z9" s="197">
        <f t="shared" si="5"/>
        <v>6.8826399999999994</v>
      </c>
      <c r="AA9" s="175"/>
      <c r="AB9" s="176"/>
      <c r="AC9" s="176"/>
      <c r="AD9" s="176"/>
      <c r="AE9" s="176"/>
      <c r="AF9" s="179"/>
      <c r="AG9" s="198">
        <v>106</v>
      </c>
      <c r="AH9" s="104">
        <v>1204.25</v>
      </c>
      <c r="AI9" s="172">
        <f>AH9/AG9</f>
        <v>11.360849056603774</v>
      </c>
      <c r="AJ9" s="199">
        <f t="shared" si="6"/>
        <v>40473.965000000004</v>
      </c>
    </row>
    <row r="10" spans="1:36" x14ac:dyDescent="0.25">
      <c r="A10" s="163">
        <v>45905</v>
      </c>
      <c r="B10" s="164">
        <v>85</v>
      </c>
      <c r="C10" s="165">
        <v>95</v>
      </c>
      <c r="D10" s="176">
        <v>85</v>
      </c>
      <c r="E10" s="176"/>
      <c r="F10" s="165">
        <v>411</v>
      </c>
      <c r="G10" s="176">
        <v>7</v>
      </c>
      <c r="H10" s="165">
        <f>B10*0.2+SUM(C10:F10)*0.4+G10*40%</f>
        <v>256.2</v>
      </c>
      <c r="I10" s="177">
        <v>16973.95</v>
      </c>
      <c r="J10" s="181">
        <f t="shared" si="1"/>
        <v>66.252732240437169</v>
      </c>
      <c r="K10" s="175">
        <v>48</v>
      </c>
      <c r="L10" s="177">
        <v>2255.46</v>
      </c>
      <c r="M10" s="178">
        <f t="shared" si="2"/>
        <v>46.988750000000003</v>
      </c>
      <c r="N10" s="164">
        <v>25</v>
      </c>
      <c r="O10" s="177">
        <v>1759.26</v>
      </c>
      <c r="P10" s="178">
        <f t="shared" si="3"/>
        <v>70.370400000000004</v>
      </c>
      <c r="Q10" s="164">
        <v>75</v>
      </c>
      <c r="R10" s="177">
        <v>3433.56</v>
      </c>
      <c r="S10" s="178">
        <f t="shared" si="4"/>
        <v>45.780799999999999</v>
      </c>
      <c r="T10" s="175"/>
      <c r="U10" s="176">
        <v>35</v>
      </c>
      <c r="V10" s="177">
        <v>482.14</v>
      </c>
      <c r="W10" s="177">
        <f t="shared" si="7"/>
        <v>13.775428571428572</v>
      </c>
      <c r="X10" s="176">
        <v>125</v>
      </c>
      <c r="Y10" s="167">
        <v>850.88</v>
      </c>
      <c r="Z10" s="197">
        <f t="shared" si="5"/>
        <v>6.8070399999999998</v>
      </c>
      <c r="AA10" s="175"/>
      <c r="AB10" s="176"/>
      <c r="AC10" s="176"/>
      <c r="AD10" s="176"/>
      <c r="AE10" s="176"/>
      <c r="AF10" s="179"/>
      <c r="AG10" s="198">
        <v>106</v>
      </c>
      <c r="AH10" s="104">
        <v>1121.03</v>
      </c>
      <c r="AI10" s="172">
        <f t="shared" ref="AI10:AI35" si="8">AH10/AG10</f>
        <v>10.575754716981132</v>
      </c>
      <c r="AJ10" s="199">
        <f t="shared" si="6"/>
        <v>26876.28</v>
      </c>
    </row>
    <row r="11" spans="1:36" x14ac:dyDescent="0.25">
      <c r="A11" s="163">
        <v>45906</v>
      </c>
      <c r="B11" s="164">
        <v>85</v>
      </c>
      <c r="C11" s="165">
        <v>95</v>
      </c>
      <c r="D11" s="176">
        <v>85</v>
      </c>
      <c r="E11" s="176"/>
      <c r="F11" s="165">
        <v>411</v>
      </c>
      <c r="G11" s="176"/>
      <c r="H11" s="165">
        <f>B11*0.2+SUM(C11:D11:G11)*0.4</f>
        <v>253.4</v>
      </c>
      <c r="I11" s="177">
        <v>19331.54</v>
      </c>
      <c r="J11" s="181">
        <f t="shared" si="1"/>
        <v>76.288634569850046</v>
      </c>
      <c r="K11" s="175">
        <v>48</v>
      </c>
      <c r="L11" s="177">
        <v>2332.12</v>
      </c>
      <c r="M11" s="178">
        <f t="shared" si="2"/>
        <v>48.585833333333333</v>
      </c>
      <c r="N11" s="164">
        <v>25</v>
      </c>
      <c r="O11" s="206">
        <v>1421.7</v>
      </c>
      <c r="P11" s="178">
        <f t="shared" si="3"/>
        <v>56.868000000000002</v>
      </c>
      <c r="Q11" s="164">
        <v>75</v>
      </c>
      <c r="R11" s="207">
        <v>4467.12</v>
      </c>
      <c r="S11" s="178">
        <f t="shared" si="4"/>
        <v>59.561599999999999</v>
      </c>
      <c r="T11" s="175"/>
      <c r="U11" s="176">
        <v>28</v>
      </c>
      <c r="V11" s="177">
        <v>393.72</v>
      </c>
      <c r="W11" s="177">
        <f t="shared" si="7"/>
        <v>14.061428571428573</v>
      </c>
      <c r="X11" s="176">
        <v>11</v>
      </c>
      <c r="Y11" s="167">
        <v>76.44</v>
      </c>
      <c r="Z11" s="197">
        <f t="shared" si="5"/>
        <v>6.9490909090909092</v>
      </c>
      <c r="AA11" s="175"/>
      <c r="AB11" s="176"/>
      <c r="AC11" s="176"/>
      <c r="AD11" s="176"/>
      <c r="AE11" s="176"/>
      <c r="AF11" s="179"/>
      <c r="AG11" s="198">
        <v>106</v>
      </c>
      <c r="AH11" s="104">
        <v>1103.7</v>
      </c>
      <c r="AI11" s="172">
        <f t="shared" si="8"/>
        <v>10.412264150943397</v>
      </c>
      <c r="AJ11" s="199">
        <f t="shared" si="6"/>
        <v>29126.34</v>
      </c>
    </row>
    <row r="12" spans="1:36" x14ac:dyDescent="0.25">
      <c r="A12" s="163">
        <v>45907</v>
      </c>
      <c r="B12" s="164">
        <v>200</v>
      </c>
      <c r="C12" s="165">
        <v>210</v>
      </c>
      <c r="D12" s="176">
        <v>205</v>
      </c>
      <c r="E12" s="176"/>
      <c r="F12" s="165">
        <v>411</v>
      </c>
      <c r="G12" s="176">
        <v>35</v>
      </c>
      <c r="H12" s="165">
        <f>B12*0.2+SUM(C12:G12)*0.4</f>
        <v>384.40000000000003</v>
      </c>
      <c r="I12" s="177">
        <v>28339.745900000002</v>
      </c>
      <c r="J12" s="181">
        <f t="shared" si="1"/>
        <v>73.724625130072837</v>
      </c>
      <c r="K12" s="175">
        <v>48</v>
      </c>
      <c r="L12" s="177">
        <v>2165.73</v>
      </c>
      <c r="M12" s="178">
        <f t="shared" si="2"/>
        <v>45.119374999999998</v>
      </c>
      <c r="N12" s="164">
        <v>25</v>
      </c>
      <c r="O12" s="177">
        <v>1506.47</v>
      </c>
      <c r="P12" s="178">
        <f t="shared" si="3"/>
        <v>60.258800000000001</v>
      </c>
      <c r="Q12" s="164">
        <v>75</v>
      </c>
      <c r="R12" s="177">
        <v>3907.9199999999992</v>
      </c>
      <c r="S12" s="178">
        <f t="shared" si="4"/>
        <v>52.105599999999988</v>
      </c>
      <c r="T12" s="175"/>
      <c r="U12" s="176">
        <v>35</v>
      </c>
      <c r="V12" s="177">
        <v>479.02</v>
      </c>
      <c r="W12" s="177">
        <f t="shared" si="7"/>
        <v>13.686285714285713</v>
      </c>
      <c r="X12" s="176">
        <v>125</v>
      </c>
      <c r="Y12" s="167">
        <v>868.18999999999994</v>
      </c>
      <c r="Z12" s="197">
        <f t="shared" si="5"/>
        <v>6.9455199999999992</v>
      </c>
      <c r="AA12" s="175"/>
      <c r="AB12" s="176"/>
      <c r="AC12" s="176"/>
      <c r="AD12" s="176"/>
      <c r="AE12" s="176"/>
      <c r="AF12" s="179"/>
      <c r="AG12" s="198">
        <v>106</v>
      </c>
      <c r="AH12" s="104">
        <v>1383.817</v>
      </c>
      <c r="AI12" s="172">
        <f t="shared" si="8"/>
        <v>13.054877358490566</v>
      </c>
      <c r="AJ12" s="199">
        <f t="shared" si="6"/>
        <v>38650.892900000006</v>
      </c>
    </row>
    <row r="13" spans="1:36" x14ac:dyDescent="0.25">
      <c r="A13" s="163">
        <v>45908</v>
      </c>
      <c r="B13" s="164">
        <v>200</v>
      </c>
      <c r="C13" s="165">
        <v>210</v>
      </c>
      <c r="D13" s="176">
        <v>205</v>
      </c>
      <c r="E13" s="176"/>
      <c r="F13" s="165">
        <v>411</v>
      </c>
      <c r="G13" s="176"/>
      <c r="H13" s="165">
        <f>B13*0.2+SUM(C13:D13:G13)*0.4</f>
        <v>370.40000000000003</v>
      </c>
      <c r="I13" s="177">
        <v>32415.150000000005</v>
      </c>
      <c r="J13" s="181">
        <f t="shared" si="1"/>
        <v>87.513903887688997</v>
      </c>
      <c r="K13" s="175">
        <v>46</v>
      </c>
      <c r="L13" s="177">
        <v>2447.2224999999999</v>
      </c>
      <c r="M13" s="178">
        <f t="shared" si="2"/>
        <v>53.200489130434782</v>
      </c>
      <c r="N13" s="164">
        <v>25</v>
      </c>
      <c r="O13" s="177">
        <v>1357.3400000000001</v>
      </c>
      <c r="P13" s="178">
        <f t="shared" si="3"/>
        <v>54.293600000000005</v>
      </c>
      <c r="Q13" s="164">
        <v>75</v>
      </c>
      <c r="R13" s="177">
        <v>4365.08</v>
      </c>
      <c r="S13" s="178">
        <f t="shared" si="4"/>
        <v>58.201066666666662</v>
      </c>
      <c r="T13" s="175"/>
      <c r="U13" s="176">
        <v>35</v>
      </c>
      <c r="V13" s="177">
        <v>488.85</v>
      </c>
      <c r="W13" s="177">
        <f t="shared" si="7"/>
        <v>13.967142857142857</v>
      </c>
      <c r="X13" s="176">
        <v>125</v>
      </c>
      <c r="Y13" s="167">
        <v>776.81500000000005</v>
      </c>
      <c r="Z13" s="197">
        <f t="shared" si="5"/>
        <v>6.2145200000000003</v>
      </c>
      <c r="AA13" s="175"/>
      <c r="AB13" s="176"/>
      <c r="AC13" s="176"/>
      <c r="AD13" s="176"/>
      <c r="AE13" s="176"/>
      <c r="AF13" s="179"/>
      <c r="AG13" s="198">
        <v>106</v>
      </c>
      <c r="AH13" s="104">
        <v>1048.6099999999999</v>
      </c>
      <c r="AI13" s="172">
        <f t="shared" si="8"/>
        <v>9.8925471698113192</v>
      </c>
      <c r="AJ13" s="199">
        <f t="shared" si="6"/>
        <v>42899.067500000012</v>
      </c>
    </row>
    <row r="14" spans="1:36" x14ac:dyDescent="0.25">
      <c r="A14" s="163">
        <v>45909</v>
      </c>
      <c r="B14" s="164">
        <v>200</v>
      </c>
      <c r="C14" s="165">
        <v>210</v>
      </c>
      <c r="D14" s="176">
        <v>261</v>
      </c>
      <c r="E14" s="176"/>
      <c r="F14" s="165">
        <v>403</v>
      </c>
      <c r="G14" s="176"/>
      <c r="H14" s="165">
        <f t="shared" si="0"/>
        <v>389.6</v>
      </c>
      <c r="I14" s="177">
        <v>29589.158599999999</v>
      </c>
      <c r="J14" s="181">
        <f t="shared" si="1"/>
        <v>75.947532340862409</v>
      </c>
      <c r="K14" s="175">
        <v>46</v>
      </c>
      <c r="L14" s="177">
        <v>2272.16</v>
      </c>
      <c r="M14" s="178">
        <f t="shared" si="2"/>
        <v>49.39478260869565</v>
      </c>
      <c r="N14" s="164">
        <v>25</v>
      </c>
      <c r="O14" s="177">
        <v>1416.2950000000001</v>
      </c>
      <c r="P14" s="178">
        <f t="shared" si="3"/>
        <v>56.651800000000001</v>
      </c>
      <c r="Q14" s="164">
        <v>75</v>
      </c>
      <c r="R14" s="177">
        <v>4130.96</v>
      </c>
      <c r="S14" s="178">
        <f t="shared" si="4"/>
        <v>55.079466666666669</v>
      </c>
      <c r="T14" s="175"/>
      <c r="U14" s="176">
        <v>35</v>
      </c>
      <c r="V14" s="177">
        <v>489.20000000000005</v>
      </c>
      <c r="W14" s="177">
        <f t="shared" si="7"/>
        <v>13.977142857142859</v>
      </c>
      <c r="X14" s="176">
        <v>126</v>
      </c>
      <c r="Y14" s="177">
        <v>889.5</v>
      </c>
      <c r="Z14" s="197">
        <f t="shared" si="5"/>
        <v>7.0595238095238093</v>
      </c>
      <c r="AA14" s="175"/>
      <c r="AB14" s="176"/>
      <c r="AC14" s="176"/>
      <c r="AD14" s="176"/>
      <c r="AE14" s="176"/>
      <c r="AF14" s="179"/>
      <c r="AG14" s="198">
        <v>106</v>
      </c>
      <c r="AH14" s="104">
        <v>1160.43</v>
      </c>
      <c r="AI14" s="172">
        <f t="shared" si="8"/>
        <v>10.947452830188681</v>
      </c>
      <c r="AJ14" s="199">
        <f t="shared" si="6"/>
        <v>39947.703599999993</v>
      </c>
    </row>
    <row r="15" spans="1:36" x14ac:dyDescent="0.25">
      <c r="A15" s="163">
        <v>45910</v>
      </c>
      <c r="B15" s="175">
        <v>200</v>
      </c>
      <c r="C15" s="176">
        <v>210</v>
      </c>
      <c r="D15" s="176">
        <v>205</v>
      </c>
      <c r="E15" s="176"/>
      <c r="F15" s="165">
        <v>403</v>
      </c>
      <c r="G15" s="176">
        <v>35</v>
      </c>
      <c r="H15" s="165">
        <f t="shared" si="0"/>
        <v>367.20000000000005</v>
      </c>
      <c r="I15" s="177">
        <v>28788.49</v>
      </c>
      <c r="J15" s="181">
        <f t="shared" si="1"/>
        <v>78.400027233115466</v>
      </c>
      <c r="K15" s="175">
        <v>48</v>
      </c>
      <c r="L15" s="177">
        <v>3182.4</v>
      </c>
      <c r="M15" s="178">
        <f t="shared" si="2"/>
        <v>66.3</v>
      </c>
      <c r="N15" s="164">
        <v>25</v>
      </c>
      <c r="O15" s="177">
        <v>1585.15</v>
      </c>
      <c r="P15" s="178">
        <f t="shared" si="3"/>
        <v>63.406000000000006</v>
      </c>
      <c r="Q15" s="164">
        <v>75</v>
      </c>
      <c r="R15" s="177">
        <v>4380.66</v>
      </c>
      <c r="S15" s="178">
        <f t="shared" si="4"/>
        <v>58.408799999999999</v>
      </c>
      <c r="T15" s="175"/>
      <c r="U15" s="176">
        <v>35</v>
      </c>
      <c r="V15" s="177">
        <v>488.88</v>
      </c>
      <c r="W15" s="177">
        <f t="shared" si="7"/>
        <v>13.968</v>
      </c>
      <c r="X15" s="176">
        <v>126</v>
      </c>
      <c r="Y15" s="177">
        <v>884.76</v>
      </c>
      <c r="Z15" s="197">
        <f t="shared" si="5"/>
        <v>7.0219047619047616</v>
      </c>
      <c r="AA15" s="175"/>
      <c r="AB15" s="176"/>
      <c r="AC15" s="176"/>
      <c r="AD15" s="176"/>
      <c r="AE15" s="176"/>
      <c r="AF15" s="179"/>
      <c r="AG15" s="198">
        <v>106</v>
      </c>
      <c r="AH15" s="104">
        <v>1110</v>
      </c>
      <c r="AI15" s="172">
        <f t="shared" si="8"/>
        <v>10.471698113207546</v>
      </c>
      <c r="AJ15" s="199">
        <f t="shared" si="6"/>
        <v>40420.339999999997</v>
      </c>
    </row>
    <row r="16" spans="1:36" x14ac:dyDescent="0.25">
      <c r="A16" s="163">
        <v>45911</v>
      </c>
      <c r="B16" s="175">
        <v>200</v>
      </c>
      <c r="C16" s="176">
        <v>210</v>
      </c>
      <c r="D16" s="176">
        <v>205</v>
      </c>
      <c r="E16" s="176"/>
      <c r="F16" s="165">
        <v>403</v>
      </c>
      <c r="G16" s="176"/>
      <c r="H16" s="165">
        <f t="shared" si="0"/>
        <v>367.20000000000005</v>
      </c>
      <c r="I16" s="177">
        <v>28399.055</v>
      </c>
      <c r="J16" s="181">
        <f t="shared" si="1"/>
        <v>77.339474400871453</v>
      </c>
      <c r="K16" s="175">
        <v>48</v>
      </c>
      <c r="L16" s="177">
        <v>2128.2300000000005</v>
      </c>
      <c r="M16" s="178">
        <f t="shared" si="2"/>
        <v>44.338125000000012</v>
      </c>
      <c r="N16" s="164">
        <v>25</v>
      </c>
      <c r="O16" s="208">
        <v>1562.6599999999999</v>
      </c>
      <c r="P16" s="178">
        <f t="shared" si="3"/>
        <v>62.506399999999992</v>
      </c>
      <c r="Q16" s="164">
        <v>75</v>
      </c>
      <c r="R16" s="177">
        <v>4662.1400000000003</v>
      </c>
      <c r="S16" s="178">
        <f t="shared" si="4"/>
        <v>62.161866666666668</v>
      </c>
      <c r="T16" s="175"/>
      <c r="U16" s="176">
        <v>35</v>
      </c>
      <c r="V16" s="177">
        <v>489.51</v>
      </c>
      <c r="W16" s="177">
        <f t="shared" si="7"/>
        <v>13.985999999999999</v>
      </c>
      <c r="X16" s="176">
        <v>126</v>
      </c>
      <c r="Y16" s="177">
        <v>887.44</v>
      </c>
      <c r="Z16" s="197">
        <f t="shared" si="5"/>
        <v>7.0431746031746032</v>
      </c>
      <c r="AA16" s="175"/>
      <c r="AB16" s="176"/>
      <c r="AC16" s="176"/>
      <c r="AD16" s="176"/>
      <c r="AE16" s="176"/>
      <c r="AF16" s="179"/>
      <c r="AG16" s="198">
        <v>106</v>
      </c>
      <c r="AH16" s="104">
        <v>1111.8799999999999</v>
      </c>
      <c r="AI16" s="172">
        <f t="shared" si="8"/>
        <v>10.489433962264149</v>
      </c>
      <c r="AJ16" s="199">
        <f t="shared" si="6"/>
        <v>39240.915000000001</v>
      </c>
    </row>
    <row r="17" spans="1:36" x14ac:dyDescent="0.25">
      <c r="A17" s="163">
        <v>45912</v>
      </c>
      <c r="B17" s="175">
        <v>85</v>
      </c>
      <c r="C17" s="176">
        <v>95</v>
      </c>
      <c r="D17" s="176">
        <v>85</v>
      </c>
      <c r="E17" s="176"/>
      <c r="F17" s="165">
        <v>387</v>
      </c>
      <c r="G17" s="176"/>
      <c r="H17" s="165">
        <f t="shared" si="0"/>
        <v>243.8</v>
      </c>
      <c r="I17" s="177">
        <v>16659</v>
      </c>
      <c r="J17" s="181">
        <f t="shared" si="1"/>
        <v>68.330598851517635</v>
      </c>
      <c r="K17" s="175">
        <v>48</v>
      </c>
      <c r="L17" s="177">
        <v>2421.0700000000002</v>
      </c>
      <c r="M17" s="178">
        <f t="shared" si="2"/>
        <v>50.438958333333339</v>
      </c>
      <c r="N17" s="164">
        <v>25</v>
      </c>
      <c r="O17" s="177">
        <v>1443.4</v>
      </c>
      <c r="P17" s="178">
        <f t="shared" si="3"/>
        <v>57.736000000000004</v>
      </c>
      <c r="Q17" s="164">
        <v>75</v>
      </c>
      <c r="R17" s="177">
        <v>4339.6799999999994</v>
      </c>
      <c r="S17" s="178">
        <f t="shared" si="4"/>
        <v>57.862399999999994</v>
      </c>
      <c r="T17" s="175"/>
      <c r="U17" s="176">
        <v>28</v>
      </c>
      <c r="V17" s="177">
        <v>388.78000000000003</v>
      </c>
      <c r="W17" s="177">
        <f t="shared" si="7"/>
        <v>13.885000000000002</v>
      </c>
      <c r="X17" s="176">
        <v>11</v>
      </c>
      <c r="Y17" s="177">
        <v>77.760000000000005</v>
      </c>
      <c r="Z17" s="197">
        <f t="shared" si="5"/>
        <v>7.0690909090909093</v>
      </c>
      <c r="AA17" s="175"/>
      <c r="AB17" s="176"/>
      <c r="AC17" s="176"/>
      <c r="AD17" s="176"/>
      <c r="AE17" s="176"/>
      <c r="AF17" s="179"/>
      <c r="AG17" s="198">
        <v>106</v>
      </c>
      <c r="AH17" s="104">
        <v>1175.76</v>
      </c>
      <c r="AI17" s="172">
        <f t="shared" si="8"/>
        <v>11.092075471698113</v>
      </c>
      <c r="AJ17" s="199">
        <f t="shared" si="6"/>
        <v>26505.449999999997</v>
      </c>
    </row>
    <row r="18" spans="1:36" x14ac:dyDescent="0.25">
      <c r="A18" s="163">
        <v>45913</v>
      </c>
      <c r="B18" s="175">
        <v>85</v>
      </c>
      <c r="C18" s="176">
        <v>95</v>
      </c>
      <c r="D18" s="176">
        <v>85</v>
      </c>
      <c r="E18" s="176"/>
      <c r="F18" s="165">
        <v>387</v>
      </c>
      <c r="G18" s="176"/>
      <c r="H18" s="165">
        <f t="shared" si="0"/>
        <v>243.8</v>
      </c>
      <c r="I18" s="177">
        <v>18068.280000000006</v>
      </c>
      <c r="J18" s="181">
        <f t="shared" si="1"/>
        <v>74.11107465135359</v>
      </c>
      <c r="K18" s="175">
        <v>48</v>
      </c>
      <c r="L18" s="177">
        <v>2446.6019999999999</v>
      </c>
      <c r="M18" s="178">
        <f t="shared" si="2"/>
        <v>50.970874999999999</v>
      </c>
      <c r="N18" s="164">
        <v>25</v>
      </c>
      <c r="O18" s="177">
        <v>1573.5</v>
      </c>
      <c r="P18" s="178">
        <f t="shared" si="3"/>
        <v>62.94</v>
      </c>
      <c r="Q18" s="164">
        <v>75</v>
      </c>
      <c r="R18" s="177">
        <v>9315.1799999999985</v>
      </c>
      <c r="S18" s="178">
        <f t="shared" si="4"/>
        <v>124.20239999999998</v>
      </c>
      <c r="T18" s="175"/>
      <c r="U18" s="176">
        <v>28</v>
      </c>
      <c r="V18" s="177">
        <v>392.22</v>
      </c>
      <c r="W18" s="177">
        <f t="shared" si="7"/>
        <v>14.007857142857144</v>
      </c>
      <c r="X18" s="176">
        <v>11</v>
      </c>
      <c r="Y18" s="177">
        <v>77.180000000000007</v>
      </c>
      <c r="Z18" s="197">
        <f t="shared" si="5"/>
        <v>7.0163636363636366</v>
      </c>
      <c r="AA18" s="175"/>
      <c r="AB18" s="176"/>
      <c r="AC18" s="176"/>
      <c r="AD18" s="176"/>
      <c r="AE18" s="176"/>
      <c r="AF18" s="179"/>
      <c r="AG18" s="198">
        <v>106</v>
      </c>
      <c r="AH18" s="104">
        <v>1330.81</v>
      </c>
      <c r="AI18" s="172">
        <f t="shared" si="8"/>
        <v>12.554811320754716</v>
      </c>
      <c r="AJ18" s="199">
        <f t="shared" si="6"/>
        <v>33203.772000000004</v>
      </c>
    </row>
    <row r="19" spans="1:36" x14ac:dyDescent="0.25">
      <c r="A19" s="163">
        <v>45914</v>
      </c>
      <c r="B19" s="175">
        <v>200</v>
      </c>
      <c r="C19" s="176">
        <v>210</v>
      </c>
      <c r="D19" s="176">
        <v>205</v>
      </c>
      <c r="E19" s="176"/>
      <c r="F19" s="165">
        <v>403</v>
      </c>
      <c r="G19" s="176"/>
      <c r="H19" s="165">
        <f t="shared" si="0"/>
        <v>367.20000000000005</v>
      </c>
      <c r="I19" s="177">
        <v>32166.59910000001</v>
      </c>
      <c r="J19" s="181">
        <f t="shared" si="1"/>
        <v>87.599670751634008</v>
      </c>
      <c r="K19" s="175">
        <v>47</v>
      </c>
      <c r="L19" s="177">
        <v>2811.48</v>
      </c>
      <c r="M19" s="178">
        <f t="shared" si="2"/>
        <v>59.818723404255323</v>
      </c>
      <c r="N19" s="164">
        <v>25</v>
      </c>
      <c r="O19" s="177">
        <v>1638.7400000000002</v>
      </c>
      <c r="P19" s="178">
        <f t="shared" si="3"/>
        <v>65.549600000000012</v>
      </c>
      <c r="Q19" s="164">
        <v>75</v>
      </c>
      <c r="R19" s="177">
        <v>1482.8300000000002</v>
      </c>
      <c r="S19" s="178">
        <f t="shared" si="4"/>
        <v>19.77106666666667</v>
      </c>
      <c r="T19" s="175"/>
      <c r="U19" s="176">
        <v>190</v>
      </c>
      <c r="V19" s="177">
        <v>2476.5200000000004</v>
      </c>
      <c r="W19" s="177">
        <f t="shared" si="7"/>
        <v>13.034315789473686</v>
      </c>
      <c r="X19" s="176">
        <v>128</v>
      </c>
      <c r="Y19" s="177">
        <v>586.8900000000001</v>
      </c>
      <c r="Z19" s="197">
        <f t="shared" si="5"/>
        <v>4.5850781250000008</v>
      </c>
      <c r="AA19" s="175"/>
      <c r="AB19" s="176"/>
      <c r="AC19" s="176"/>
      <c r="AD19" s="176"/>
      <c r="AE19" s="176"/>
      <c r="AF19" s="179"/>
      <c r="AG19" s="198">
        <v>106</v>
      </c>
      <c r="AH19" s="104">
        <v>1143.53</v>
      </c>
      <c r="AI19" s="172">
        <f t="shared" si="8"/>
        <v>10.788018867924528</v>
      </c>
      <c r="AJ19" s="199">
        <f t="shared" si="6"/>
        <v>42306.589100000012</v>
      </c>
    </row>
    <row r="20" spans="1:36" x14ac:dyDescent="0.25">
      <c r="A20" s="163">
        <v>45915</v>
      </c>
      <c r="B20" s="175">
        <v>200</v>
      </c>
      <c r="C20" s="176">
        <v>210</v>
      </c>
      <c r="D20" s="176">
        <v>233</v>
      </c>
      <c r="E20" s="176"/>
      <c r="F20" s="165">
        <v>403</v>
      </c>
      <c r="G20" s="176">
        <v>7</v>
      </c>
      <c r="H20" s="165">
        <f t="shared" si="0"/>
        <v>378.40000000000003</v>
      </c>
      <c r="I20" s="177">
        <v>32245.670000000002</v>
      </c>
      <c r="J20" s="181">
        <f t="shared" si="1"/>
        <v>85.21582980972515</v>
      </c>
      <c r="K20" s="175">
        <v>47</v>
      </c>
      <c r="L20" s="177">
        <v>2720.22</v>
      </c>
      <c r="M20" s="178">
        <f t="shared" si="2"/>
        <v>57.877021276595741</v>
      </c>
      <c r="N20" s="164">
        <v>25</v>
      </c>
      <c r="O20" s="177">
        <v>1650.8999999999999</v>
      </c>
      <c r="P20" s="178">
        <f t="shared" si="3"/>
        <v>66.036000000000001</v>
      </c>
      <c r="Q20" s="164">
        <v>75</v>
      </c>
      <c r="R20" s="177">
        <v>4362.8199999999979</v>
      </c>
      <c r="S20" s="178">
        <f t="shared" si="4"/>
        <v>58.170933333333302</v>
      </c>
      <c r="T20" s="175"/>
      <c r="U20" s="176">
        <v>35</v>
      </c>
      <c r="V20" s="177">
        <v>489.51</v>
      </c>
      <c r="W20" s="177">
        <f t="shared" si="7"/>
        <v>13.985999999999999</v>
      </c>
      <c r="X20" s="176">
        <v>128</v>
      </c>
      <c r="Y20" s="177">
        <v>896.06</v>
      </c>
      <c r="Z20" s="197">
        <f t="shared" si="5"/>
        <v>7.0004687499999996</v>
      </c>
      <c r="AA20" s="175"/>
      <c r="AB20" s="176"/>
      <c r="AC20" s="176"/>
      <c r="AD20" s="176"/>
      <c r="AE20" s="176"/>
      <c r="AF20" s="179"/>
      <c r="AG20" s="198">
        <v>106</v>
      </c>
      <c r="AH20" s="104">
        <v>1102.5</v>
      </c>
      <c r="AI20" s="172">
        <f t="shared" si="8"/>
        <v>10.400943396226415</v>
      </c>
      <c r="AJ20" s="199">
        <f t="shared" si="6"/>
        <v>43467.68</v>
      </c>
    </row>
    <row r="21" spans="1:36" x14ac:dyDescent="0.25">
      <c r="A21" s="163">
        <v>45916</v>
      </c>
      <c r="B21" s="175">
        <v>200</v>
      </c>
      <c r="C21" s="176">
        <v>210</v>
      </c>
      <c r="D21" s="176">
        <v>234</v>
      </c>
      <c r="E21" s="176"/>
      <c r="F21" s="165">
        <v>403</v>
      </c>
      <c r="G21" s="176"/>
      <c r="H21" s="165">
        <f t="shared" si="0"/>
        <v>378.8</v>
      </c>
      <c r="I21" s="177">
        <v>28566.639999999996</v>
      </c>
      <c r="J21" s="181">
        <f t="shared" si="1"/>
        <v>75.413516367476234</v>
      </c>
      <c r="K21" s="175">
        <v>48</v>
      </c>
      <c r="L21" s="177">
        <v>2579.8049999999998</v>
      </c>
      <c r="M21" s="178">
        <f t="shared" si="2"/>
        <v>53.745937499999997</v>
      </c>
      <c r="N21" s="164">
        <v>25</v>
      </c>
      <c r="O21" s="177">
        <v>1575</v>
      </c>
      <c r="P21" s="178">
        <f t="shared" si="3"/>
        <v>63</v>
      </c>
      <c r="Q21" s="164">
        <v>75</v>
      </c>
      <c r="R21" s="177">
        <v>4206.16</v>
      </c>
      <c r="S21" s="178">
        <f t="shared" si="4"/>
        <v>56.082133333333331</v>
      </c>
      <c r="T21" s="175"/>
      <c r="U21" s="176">
        <v>35</v>
      </c>
      <c r="V21" s="177">
        <v>488.06</v>
      </c>
      <c r="W21" s="177">
        <f t="shared" si="7"/>
        <v>13.944571428571429</v>
      </c>
      <c r="X21" s="176">
        <v>128</v>
      </c>
      <c r="Y21" s="177">
        <v>888.90000000000009</v>
      </c>
      <c r="Z21" s="197">
        <f t="shared" si="5"/>
        <v>6.9445312500000007</v>
      </c>
      <c r="AA21" s="175"/>
      <c r="AB21" s="176"/>
      <c r="AC21" s="176"/>
      <c r="AD21" s="176"/>
      <c r="AE21" s="176"/>
      <c r="AF21" s="179"/>
      <c r="AG21" s="198">
        <v>106</v>
      </c>
      <c r="AH21" s="104">
        <v>1236.69</v>
      </c>
      <c r="AI21" s="172">
        <f t="shared" si="8"/>
        <v>11.66688679245283</v>
      </c>
      <c r="AJ21" s="199">
        <f t="shared" si="6"/>
        <v>39541.254999999997</v>
      </c>
    </row>
    <row r="22" spans="1:36" x14ac:dyDescent="0.25">
      <c r="A22" s="163">
        <v>45917</v>
      </c>
      <c r="B22" s="175">
        <v>200</v>
      </c>
      <c r="C22" s="176">
        <v>210</v>
      </c>
      <c r="D22" s="176">
        <v>220</v>
      </c>
      <c r="E22" s="176"/>
      <c r="F22" s="165">
        <v>403</v>
      </c>
      <c r="G22" s="176">
        <v>35</v>
      </c>
      <c r="H22" s="165">
        <f>B22*0.2+SUM(C22:G22)*0.4</f>
        <v>387.20000000000005</v>
      </c>
      <c r="I22" s="177">
        <v>31129.38</v>
      </c>
      <c r="J22" s="181">
        <f t="shared" si="1"/>
        <v>80.39612603305784</v>
      </c>
      <c r="K22" s="175">
        <v>48</v>
      </c>
      <c r="L22" s="177">
        <v>2329.41</v>
      </c>
      <c r="M22" s="178">
        <f t="shared" si="2"/>
        <v>48.529374999999995</v>
      </c>
      <c r="N22" s="164">
        <v>25</v>
      </c>
      <c r="O22" s="177">
        <v>1589.6100000000001</v>
      </c>
      <c r="P22" s="178">
        <f t="shared" si="3"/>
        <v>63.584400000000002</v>
      </c>
      <c r="Q22" s="164">
        <v>75</v>
      </c>
      <c r="R22" s="177">
        <v>4269.8999999999996</v>
      </c>
      <c r="S22" s="178">
        <f t="shared" si="4"/>
        <v>56.931999999999995</v>
      </c>
      <c r="T22" s="175"/>
      <c r="U22" s="176">
        <v>35</v>
      </c>
      <c r="V22" s="177">
        <v>491.71000000000004</v>
      </c>
      <c r="W22" s="177">
        <f t="shared" si="7"/>
        <v>14.048857142857145</v>
      </c>
      <c r="X22" s="176">
        <v>128</v>
      </c>
      <c r="Y22" s="177">
        <v>885.08</v>
      </c>
      <c r="Z22" s="197">
        <f t="shared" si="5"/>
        <v>6.9146875000000003</v>
      </c>
      <c r="AA22" s="175"/>
      <c r="AB22" s="176"/>
      <c r="AC22" s="176"/>
      <c r="AD22" s="176"/>
      <c r="AE22" s="176"/>
      <c r="AF22" s="179"/>
      <c r="AG22" s="198">
        <v>106</v>
      </c>
      <c r="AH22" s="104">
        <v>1222.24</v>
      </c>
      <c r="AI22" s="172">
        <f t="shared" si="8"/>
        <v>11.530566037735849</v>
      </c>
      <c r="AJ22" s="199">
        <f t="shared" si="6"/>
        <v>41917.33</v>
      </c>
    </row>
    <row r="23" spans="1:36" x14ac:dyDescent="0.25">
      <c r="A23" s="163">
        <v>45918</v>
      </c>
      <c r="B23" s="175">
        <v>200</v>
      </c>
      <c r="C23" s="176">
        <v>210</v>
      </c>
      <c r="D23" s="176">
        <v>205</v>
      </c>
      <c r="E23" s="176"/>
      <c r="F23" s="165">
        <v>403</v>
      </c>
      <c r="G23" s="176"/>
      <c r="H23" s="165">
        <f t="shared" si="0"/>
        <v>367.20000000000005</v>
      </c>
      <c r="I23" s="177">
        <v>27500.125800000005</v>
      </c>
      <c r="J23" s="181">
        <f t="shared" si="1"/>
        <v>74.891410130718953</v>
      </c>
      <c r="K23" s="175">
        <v>48</v>
      </c>
      <c r="L23" s="177">
        <v>2729.59</v>
      </c>
      <c r="M23" s="178">
        <f t="shared" si="2"/>
        <v>56.866458333333334</v>
      </c>
      <c r="N23" s="164">
        <v>25</v>
      </c>
      <c r="O23" s="177">
        <v>1412.2550000000001</v>
      </c>
      <c r="P23" s="178">
        <f t="shared" si="3"/>
        <v>56.490200000000002</v>
      </c>
      <c r="Q23" s="164">
        <v>75</v>
      </c>
      <c r="R23" s="177">
        <v>4910.1000000000004</v>
      </c>
      <c r="S23" s="178">
        <f t="shared" si="4"/>
        <v>65.468000000000004</v>
      </c>
      <c r="T23" s="175"/>
      <c r="U23" s="176">
        <v>35</v>
      </c>
      <c r="V23" s="177">
        <v>479.86</v>
      </c>
      <c r="W23" s="177">
        <f t="shared" si="7"/>
        <v>13.710285714285714</v>
      </c>
      <c r="X23" s="176">
        <v>128</v>
      </c>
      <c r="Y23" s="177">
        <v>895.23</v>
      </c>
      <c r="Z23" s="197">
        <f t="shared" si="5"/>
        <v>6.9939843750000001</v>
      </c>
      <c r="AA23" s="175"/>
      <c r="AB23" s="176"/>
      <c r="AC23" s="176"/>
      <c r="AD23" s="176"/>
      <c r="AE23" s="176"/>
      <c r="AF23" s="179"/>
      <c r="AG23" s="198">
        <v>106</v>
      </c>
      <c r="AH23" s="104">
        <v>1187.8000000000002</v>
      </c>
      <c r="AI23" s="172">
        <f t="shared" si="8"/>
        <v>11.205660377358493</v>
      </c>
      <c r="AJ23" s="199">
        <f t="shared" si="6"/>
        <v>39114.960800000015</v>
      </c>
    </row>
    <row r="24" spans="1:36" x14ac:dyDescent="0.25">
      <c r="A24" s="163">
        <v>45919</v>
      </c>
      <c r="B24" s="175">
        <v>85</v>
      </c>
      <c r="C24" s="176">
        <v>95</v>
      </c>
      <c r="D24" s="176">
        <v>86</v>
      </c>
      <c r="E24" s="176"/>
      <c r="F24" s="165">
        <v>387</v>
      </c>
      <c r="G24" s="176"/>
      <c r="H24" s="165">
        <f t="shared" si="0"/>
        <v>244.20000000000002</v>
      </c>
      <c r="I24" s="177">
        <v>21386.589999999997</v>
      </c>
      <c r="J24" s="181">
        <f t="shared" si="1"/>
        <v>87.578173628173602</v>
      </c>
      <c r="K24" s="175">
        <v>48</v>
      </c>
      <c r="L24" s="177">
        <v>2375.0200000000004</v>
      </c>
      <c r="M24" s="178">
        <f t="shared" si="2"/>
        <v>49.479583333333345</v>
      </c>
      <c r="N24" s="164">
        <v>25</v>
      </c>
      <c r="O24" s="177">
        <v>1430.46</v>
      </c>
      <c r="P24" s="178">
        <f t="shared" si="3"/>
        <v>57.218400000000003</v>
      </c>
      <c r="Q24" s="164">
        <v>75</v>
      </c>
      <c r="R24" s="177">
        <v>4691.57</v>
      </c>
      <c r="S24" s="178">
        <f t="shared" si="4"/>
        <v>62.554266666666663</v>
      </c>
      <c r="T24" s="175"/>
      <c r="U24" s="176">
        <v>28</v>
      </c>
      <c r="V24" s="177">
        <v>391.23</v>
      </c>
      <c r="W24" s="177">
        <f t="shared" si="7"/>
        <v>13.9725</v>
      </c>
      <c r="X24" s="176">
        <v>11</v>
      </c>
      <c r="Y24" s="177">
        <v>74.290000000000006</v>
      </c>
      <c r="Z24" s="197">
        <f t="shared" si="5"/>
        <v>6.7536363636363639</v>
      </c>
      <c r="AA24" s="175"/>
      <c r="AB24" s="176"/>
      <c r="AC24" s="176"/>
      <c r="AD24" s="176"/>
      <c r="AE24" s="176"/>
      <c r="AF24" s="179"/>
      <c r="AG24" s="198">
        <v>106</v>
      </c>
      <c r="AH24" s="104">
        <v>1173.1200000000001</v>
      </c>
      <c r="AI24" s="172">
        <f t="shared" si="8"/>
        <v>11.067169811320756</v>
      </c>
      <c r="AJ24" s="199">
        <f t="shared" si="6"/>
        <v>31522.279999999995</v>
      </c>
    </row>
    <row r="25" spans="1:36" x14ac:dyDescent="0.25">
      <c r="A25" s="163">
        <v>45920</v>
      </c>
      <c r="B25" s="175">
        <v>85</v>
      </c>
      <c r="C25" s="176">
        <v>95</v>
      </c>
      <c r="D25" s="176">
        <v>85</v>
      </c>
      <c r="E25" s="176"/>
      <c r="F25" s="165">
        <v>387</v>
      </c>
      <c r="G25" s="176"/>
      <c r="H25" s="165">
        <f t="shared" si="0"/>
        <v>243.8</v>
      </c>
      <c r="I25" s="177">
        <v>17180.79</v>
      </c>
      <c r="J25" s="181">
        <f t="shared" si="1"/>
        <v>70.470836751435598</v>
      </c>
      <c r="K25" s="175">
        <v>48</v>
      </c>
      <c r="L25" s="177">
        <v>2358.16</v>
      </c>
      <c r="M25" s="178">
        <f t="shared" si="2"/>
        <v>49.12833333333333</v>
      </c>
      <c r="N25" s="164">
        <v>25</v>
      </c>
      <c r="O25" s="177">
        <v>1662.24</v>
      </c>
      <c r="P25" s="178">
        <f t="shared" si="3"/>
        <v>66.489599999999996</v>
      </c>
      <c r="Q25" s="164">
        <v>75</v>
      </c>
      <c r="R25" s="177">
        <v>4925.82</v>
      </c>
      <c r="S25" s="178">
        <f t="shared" si="4"/>
        <v>65.677599999999998</v>
      </c>
      <c r="T25" s="175"/>
      <c r="U25" s="176">
        <v>28</v>
      </c>
      <c r="V25" s="177">
        <v>388.12</v>
      </c>
      <c r="W25" s="177">
        <f t="shared" si="7"/>
        <v>13.861428571428572</v>
      </c>
      <c r="X25" s="176">
        <v>11</v>
      </c>
      <c r="Y25" s="177">
        <v>75.599999999999994</v>
      </c>
      <c r="Z25" s="197">
        <f t="shared" si="5"/>
        <v>6.8727272727272721</v>
      </c>
      <c r="AA25" s="175"/>
      <c r="AB25" s="176"/>
      <c r="AC25" s="176"/>
      <c r="AD25" s="176"/>
      <c r="AE25" s="176"/>
      <c r="AF25" s="179"/>
      <c r="AG25" s="198">
        <v>106</v>
      </c>
      <c r="AH25" s="104">
        <v>1251.97</v>
      </c>
      <c r="AI25" s="172">
        <f t="shared" si="8"/>
        <v>11.811037735849057</v>
      </c>
      <c r="AJ25" s="199">
        <f t="shared" si="6"/>
        <v>27842.7</v>
      </c>
    </row>
    <row r="26" spans="1:36" x14ac:dyDescent="0.25">
      <c r="A26" s="163">
        <v>45921</v>
      </c>
      <c r="B26" s="175">
        <v>200</v>
      </c>
      <c r="C26" s="176">
        <v>210</v>
      </c>
      <c r="D26" s="176">
        <v>212</v>
      </c>
      <c r="E26" s="176"/>
      <c r="F26" s="165">
        <v>403</v>
      </c>
      <c r="G26" s="176"/>
      <c r="H26" s="165">
        <f t="shared" si="0"/>
        <v>370</v>
      </c>
      <c r="I26" s="177">
        <v>31645.520700000005</v>
      </c>
      <c r="J26" s="181">
        <f t="shared" si="1"/>
        <v>85.528434324324337</v>
      </c>
      <c r="K26" s="175">
        <v>48</v>
      </c>
      <c r="L26" s="177">
        <v>2723.2599999999998</v>
      </c>
      <c r="M26" s="178">
        <f t="shared" si="2"/>
        <v>56.734583333333326</v>
      </c>
      <c r="N26" s="164">
        <v>25</v>
      </c>
      <c r="O26" s="177">
        <v>1380.14</v>
      </c>
      <c r="P26" s="178">
        <f t="shared" si="3"/>
        <v>55.205600000000004</v>
      </c>
      <c r="Q26" s="164">
        <v>75</v>
      </c>
      <c r="R26" s="177">
        <v>5283.9</v>
      </c>
      <c r="S26" s="178">
        <f t="shared" si="4"/>
        <v>70.451999999999998</v>
      </c>
      <c r="T26" s="175"/>
      <c r="U26" s="176">
        <v>172</v>
      </c>
      <c r="V26" s="177">
        <v>2585.1600000000003</v>
      </c>
      <c r="W26" s="177">
        <f t="shared" si="7"/>
        <v>15.030000000000001</v>
      </c>
      <c r="X26" s="176">
        <v>130</v>
      </c>
      <c r="Y26" s="177">
        <v>909.27</v>
      </c>
      <c r="Z26" s="197">
        <f t="shared" si="5"/>
        <v>6.9943846153846154</v>
      </c>
      <c r="AA26" s="175"/>
      <c r="AB26" s="176"/>
      <c r="AC26" s="176"/>
      <c r="AD26" s="176"/>
      <c r="AE26" s="176"/>
      <c r="AF26" s="179"/>
      <c r="AG26" s="198">
        <v>106</v>
      </c>
      <c r="AH26" s="104">
        <v>1202.76</v>
      </c>
      <c r="AI26" s="172">
        <f t="shared" si="8"/>
        <v>11.346792452830188</v>
      </c>
      <c r="AJ26" s="199">
        <f t="shared" si="6"/>
        <v>45730.010700000006</v>
      </c>
    </row>
    <row r="27" spans="1:36" x14ac:dyDescent="0.25">
      <c r="A27" s="163">
        <v>45922</v>
      </c>
      <c r="B27" s="175">
        <v>200</v>
      </c>
      <c r="C27" s="176">
        <v>210</v>
      </c>
      <c r="D27" s="176">
        <v>244</v>
      </c>
      <c r="E27" s="176"/>
      <c r="F27" s="165">
        <v>403</v>
      </c>
      <c r="G27" s="176"/>
      <c r="H27" s="165">
        <f t="shared" si="0"/>
        <v>382.8</v>
      </c>
      <c r="I27" s="177">
        <v>31846.369999999984</v>
      </c>
      <c r="J27" s="181">
        <f t="shared" si="1"/>
        <v>83.193234064785742</v>
      </c>
      <c r="K27" s="175">
        <v>48</v>
      </c>
      <c r="L27" s="177">
        <v>2614.2649999999999</v>
      </c>
      <c r="M27" s="178">
        <f t="shared" si="2"/>
        <v>54.463854166666664</v>
      </c>
      <c r="N27" s="164">
        <v>25</v>
      </c>
      <c r="O27" s="177">
        <v>1395.2</v>
      </c>
      <c r="P27" s="178">
        <f t="shared" si="3"/>
        <v>55.808</v>
      </c>
      <c r="Q27" s="164">
        <v>75</v>
      </c>
      <c r="R27" s="177">
        <v>4606.26</v>
      </c>
      <c r="S27" s="178">
        <f t="shared" si="4"/>
        <v>61.416800000000002</v>
      </c>
      <c r="T27" s="175"/>
      <c r="U27" s="176">
        <v>35</v>
      </c>
      <c r="V27" s="177">
        <v>490.98</v>
      </c>
      <c r="W27" s="177">
        <f t="shared" si="7"/>
        <v>14.028</v>
      </c>
      <c r="X27" s="176">
        <v>130</v>
      </c>
      <c r="Y27" s="177">
        <v>908.84</v>
      </c>
      <c r="Z27" s="197">
        <f t="shared" si="5"/>
        <v>6.991076923076923</v>
      </c>
      <c r="AA27" s="175"/>
      <c r="AB27" s="176"/>
      <c r="AC27" s="176"/>
      <c r="AD27" s="176"/>
      <c r="AE27" s="176"/>
      <c r="AF27" s="179"/>
      <c r="AG27" s="198">
        <v>106</v>
      </c>
      <c r="AH27" s="104">
        <v>1098.2</v>
      </c>
      <c r="AI27" s="172">
        <f t="shared" si="8"/>
        <v>10.360377358490567</v>
      </c>
      <c r="AJ27" s="199">
        <f t="shared" si="6"/>
        <v>42960.114999999983</v>
      </c>
    </row>
    <row r="28" spans="1:36" x14ac:dyDescent="0.25">
      <c r="A28" s="163">
        <v>45923</v>
      </c>
      <c r="B28" s="175">
        <v>200</v>
      </c>
      <c r="C28" s="176">
        <v>210</v>
      </c>
      <c r="D28" s="176">
        <v>231</v>
      </c>
      <c r="E28" s="176"/>
      <c r="F28" s="165">
        <v>403</v>
      </c>
      <c r="G28" s="176"/>
      <c r="H28" s="165">
        <f t="shared" si="0"/>
        <v>377.6</v>
      </c>
      <c r="I28" s="177">
        <v>30515.134999999995</v>
      </c>
      <c r="J28" s="181">
        <f t="shared" si="1"/>
        <v>80.813387182203371</v>
      </c>
      <c r="K28" s="175">
        <v>44</v>
      </c>
      <c r="L28" s="177">
        <v>2359.2925</v>
      </c>
      <c r="M28" s="178">
        <f t="shared" si="2"/>
        <v>53.620284090909088</v>
      </c>
      <c r="N28" s="164">
        <v>25</v>
      </c>
      <c r="O28" s="177">
        <v>1453.48</v>
      </c>
      <c r="P28" s="178">
        <f t="shared" si="3"/>
        <v>58.139200000000002</v>
      </c>
      <c r="Q28" s="164">
        <v>75</v>
      </c>
      <c r="R28" s="177">
        <v>4844.49</v>
      </c>
      <c r="S28" s="178">
        <f t="shared" si="4"/>
        <v>64.593199999999996</v>
      </c>
      <c r="T28" s="175"/>
      <c r="U28" s="176">
        <v>37</v>
      </c>
      <c r="V28" s="177">
        <v>517.55999999999995</v>
      </c>
      <c r="W28" s="177">
        <f t="shared" si="7"/>
        <v>13.988108108108106</v>
      </c>
      <c r="X28" s="176">
        <v>126</v>
      </c>
      <c r="Y28" s="177">
        <v>889.28</v>
      </c>
      <c r="Z28" s="197">
        <f t="shared" si="5"/>
        <v>7.0577777777777779</v>
      </c>
      <c r="AA28" s="175"/>
      <c r="AB28" s="176"/>
      <c r="AC28" s="176"/>
      <c r="AD28" s="176"/>
      <c r="AE28" s="176"/>
      <c r="AF28" s="179"/>
      <c r="AG28" s="198">
        <v>106</v>
      </c>
      <c r="AH28" s="104">
        <v>1119.24</v>
      </c>
      <c r="AI28" s="172">
        <f t="shared" si="8"/>
        <v>10.558867924528302</v>
      </c>
      <c r="AJ28" s="199">
        <f t="shared" si="6"/>
        <v>41698.477499999994</v>
      </c>
    </row>
    <row r="29" spans="1:36" x14ac:dyDescent="0.25">
      <c r="A29" s="163">
        <v>45924</v>
      </c>
      <c r="B29" s="175">
        <v>200</v>
      </c>
      <c r="C29" s="176">
        <v>210</v>
      </c>
      <c r="D29" s="176">
        <v>205</v>
      </c>
      <c r="E29" s="176"/>
      <c r="F29" s="165">
        <v>403</v>
      </c>
      <c r="G29" s="176"/>
      <c r="H29" s="165">
        <f t="shared" si="0"/>
        <v>367.20000000000005</v>
      </c>
      <c r="I29" s="177">
        <v>26303.99</v>
      </c>
      <c r="J29" s="181">
        <f t="shared" si="1"/>
        <v>71.633959694989102</v>
      </c>
      <c r="K29" s="175">
        <v>48</v>
      </c>
      <c r="L29" s="177">
        <v>2397.7725</v>
      </c>
      <c r="M29" s="178">
        <f t="shared" si="2"/>
        <v>49.953593750000003</v>
      </c>
      <c r="N29" s="164">
        <v>25</v>
      </c>
      <c r="O29" s="177">
        <v>1636.22</v>
      </c>
      <c r="P29" s="178">
        <f t="shared" si="3"/>
        <v>65.448800000000006</v>
      </c>
      <c r="Q29" s="164">
        <v>75</v>
      </c>
      <c r="R29" s="177">
        <v>4712.8900000000003</v>
      </c>
      <c r="S29" s="178">
        <f t="shared" si="4"/>
        <v>62.838533333333338</v>
      </c>
      <c r="T29" s="175"/>
      <c r="U29" s="176">
        <v>37</v>
      </c>
      <c r="V29" s="177">
        <v>516.9</v>
      </c>
      <c r="W29" s="177">
        <f t="shared" si="7"/>
        <v>13.970270270270269</v>
      </c>
      <c r="X29" s="176">
        <v>126</v>
      </c>
      <c r="Y29" s="177">
        <v>872.40000000000009</v>
      </c>
      <c r="Z29" s="197">
        <f t="shared" si="5"/>
        <v>6.923809523809525</v>
      </c>
      <c r="AA29" s="175"/>
      <c r="AB29" s="176"/>
      <c r="AC29" s="176"/>
      <c r="AD29" s="176"/>
      <c r="AE29" s="176"/>
      <c r="AF29" s="179"/>
      <c r="AG29" s="198">
        <v>106</v>
      </c>
      <c r="AH29" s="104">
        <v>1286.1000000000001</v>
      </c>
      <c r="AI29" s="172">
        <f t="shared" si="8"/>
        <v>12.13301886792453</v>
      </c>
      <c r="AJ29" s="199">
        <f t="shared" si="6"/>
        <v>37726.272500000006</v>
      </c>
    </row>
    <row r="30" spans="1:36" x14ac:dyDescent="0.25">
      <c r="A30" s="163">
        <v>45925</v>
      </c>
      <c r="B30" s="175">
        <v>200</v>
      </c>
      <c r="C30" s="176">
        <v>210</v>
      </c>
      <c r="D30" s="176">
        <v>205</v>
      </c>
      <c r="E30" s="176"/>
      <c r="F30" s="165">
        <v>403</v>
      </c>
      <c r="G30" s="176"/>
      <c r="H30" s="165">
        <f t="shared" si="0"/>
        <v>367.20000000000005</v>
      </c>
      <c r="I30" s="177">
        <v>25543.9499</v>
      </c>
      <c r="J30" s="181">
        <f t="shared" si="1"/>
        <v>69.564133714596935</v>
      </c>
      <c r="K30" s="175">
        <v>48</v>
      </c>
      <c r="L30" s="177">
        <v>2533.8100000000004</v>
      </c>
      <c r="M30" s="178">
        <f t="shared" si="2"/>
        <v>52.787708333333342</v>
      </c>
      <c r="N30" s="164">
        <v>25</v>
      </c>
      <c r="O30" s="177">
        <v>1430.46</v>
      </c>
      <c r="P30" s="178">
        <f t="shared" si="3"/>
        <v>57.218400000000003</v>
      </c>
      <c r="Q30" s="164">
        <v>75</v>
      </c>
      <c r="R30" s="177">
        <v>5192.01</v>
      </c>
      <c r="S30" s="178">
        <f t="shared" si="4"/>
        <v>69.226799999999997</v>
      </c>
      <c r="T30" s="175"/>
      <c r="U30" s="176">
        <v>37</v>
      </c>
      <c r="V30" s="177">
        <v>513.34999999999991</v>
      </c>
      <c r="W30" s="177">
        <f t="shared" si="7"/>
        <v>13.874324324324322</v>
      </c>
      <c r="X30" s="176">
        <v>126</v>
      </c>
      <c r="Y30" s="177">
        <v>875</v>
      </c>
      <c r="Z30" s="197">
        <f t="shared" si="5"/>
        <v>6.9444444444444446</v>
      </c>
      <c r="AA30" s="175"/>
      <c r="AB30" s="176"/>
      <c r="AC30" s="176"/>
      <c r="AD30" s="176"/>
      <c r="AE30" s="176"/>
      <c r="AF30" s="179"/>
      <c r="AG30" s="198">
        <v>106</v>
      </c>
      <c r="AH30" s="104">
        <v>1107.1499999999999</v>
      </c>
      <c r="AI30" s="172">
        <f t="shared" si="8"/>
        <v>10.444811320754715</v>
      </c>
      <c r="AJ30" s="199">
        <f t="shared" si="6"/>
        <v>37195.729899999998</v>
      </c>
    </row>
    <row r="31" spans="1:36" x14ac:dyDescent="0.25">
      <c r="A31" s="163">
        <v>45926</v>
      </c>
      <c r="B31" s="175">
        <v>85</v>
      </c>
      <c r="C31" s="176">
        <v>95</v>
      </c>
      <c r="D31" s="176">
        <v>85</v>
      </c>
      <c r="E31" s="176"/>
      <c r="F31" s="165">
        <v>387</v>
      </c>
      <c r="G31" s="176"/>
      <c r="H31" s="165">
        <f t="shared" si="0"/>
        <v>243.8</v>
      </c>
      <c r="I31" s="177">
        <v>13765.53</v>
      </c>
      <c r="J31" s="181">
        <f t="shared" si="1"/>
        <v>56.462387202625102</v>
      </c>
      <c r="K31" s="175">
        <v>48</v>
      </c>
      <c r="L31" s="177">
        <v>2350.8000000000002</v>
      </c>
      <c r="M31" s="178">
        <f t="shared" si="2"/>
        <v>48.975000000000001</v>
      </c>
      <c r="N31" s="164">
        <v>25</v>
      </c>
      <c r="O31" s="177">
        <v>1542.72</v>
      </c>
      <c r="P31" s="178">
        <f t="shared" si="3"/>
        <v>61.708800000000004</v>
      </c>
      <c r="Q31" s="164">
        <v>75</v>
      </c>
      <c r="R31" s="177">
        <v>4482.9948000000004</v>
      </c>
      <c r="S31" s="178">
        <f t="shared" si="4"/>
        <v>59.773264000000005</v>
      </c>
      <c r="T31" s="175"/>
      <c r="U31" s="176">
        <v>28</v>
      </c>
      <c r="V31" s="176">
        <v>377.91</v>
      </c>
      <c r="W31" s="177">
        <f t="shared" si="7"/>
        <v>13.496785714285716</v>
      </c>
      <c r="X31" s="176">
        <v>11</v>
      </c>
      <c r="Y31" s="177">
        <v>83.98</v>
      </c>
      <c r="Z31" s="197">
        <f t="shared" si="5"/>
        <v>7.6345454545454547</v>
      </c>
      <c r="AA31" s="175"/>
      <c r="AB31" s="176"/>
      <c r="AC31" s="176"/>
      <c r="AD31" s="176"/>
      <c r="AE31" s="176"/>
      <c r="AF31" s="179"/>
      <c r="AG31" s="198">
        <v>106</v>
      </c>
      <c r="AH31" s="104">
        <v>1269.3900000000001</v>
      </c>
      <c r="AI31" s="172">
        <f t="shared" si="8"/>
        <v>11.975377358490567</v>
      </c>
      <c r="AJ31" s="199">
        <f t="shared" si="6"/>
        <v>23873.324800000002</v>
      </c>
    </row>
    <row r="32" spans="1:36" x14ac:dyDescent="0.25">
      <c r="A32" s="163">
        <v>45927</v>
      </c>
      <c r="B32" s="175">
        <v>85</v>
      </c>
      <c r="C32" s="176">
        <v>95</v>
      </c>
      <c r="D32" s="176">
        <v>85</v>
      </c>
      <c r="E32" s="176"/>
      <c r="F32" s="165">
        <v>387</v>
      </c>
      <c r="G32" s="176"/>
      <c r="H32" s="165">
        <f t="shared" si="0"/>
        <v>243.8</v>
      </c>
      <c r="I32" s="177">
        <v>17888.2</v>
      </c>
      <c r="J32" s="181">
        <f t="shared" si="1"/>
        <v>73.372436423297785</v>
      </c>
      <c r="K32" s="175">
        <v>48</v>
      </c>
      <c r="L32" s="177">
        <v>2529.52</v>
      </c>
      <c r="M32" s="178">
        <f t="shared" si="2"/>
        <v>52.698333333333331</v>
      </c>
      <c r="N32" s="164">
        <v>25</v>
      </c>
      <c r="O32" s="177">
        <v>1633.56</v>
      </c>
      <c r="P32" s="178">
        <f t="shared" si="3"/>
        <v>65.342399999999998</v>
      </c>
      <c r="Q32" s="164">
        <v>75</v>
      </c>
      <c r="R32" s="177">
        <v>5527.01</v>
      </c>
      <c r="S32" s="178">
        <f t="shared" si="4"/>
        <v>73.693466666666666</v>
      </c>
      <c r="T32" s="175"/>
      <c r="U32" s="176">
        <v>28</v>
      </c>
      <c r="V32" s="177">
        <v>398.90500000000003</v>
      </c>
      <c r="W32" s="177">
        <f t="shared" si="7"/>
        <v>14.246607142857144</v>
      </c>
      <c r="X32" s="176">
        <v>11</v>
      </c>
      <c r="Y32" s="177">
        <v>62.984999999999999</v>
      </c>
      <c r="Z32" s="197">
        <f t="shared" si="5"/>
        <v>5.7259090909090906</v>
      </c>
      <c r="AA32" s="175"/>
      <c r="AB32" s="176"/>
      <c r="AC32" s="176"/>
      <c r="AD32" s="176"/>
      <c r="AE32" s="176"/>
      <c r="AF32" s="179"/>
      <c r="AG32" s="198">
        <v>106</v>
      </c>
      <c r="AH32" s="104">
        <v>1265.46</v>
      </c>
      <c r="AI32" s="172">
        <f t="shared" si="8"/>
        <v>11.938301886792454</v>
      </c>
      <c r="AJ32" s="199">
        <f t="shared" si="6"/>
        <v>29305.64</v>
      </c>
    </row>
    <row r="33" spans="1:36" x14ac:dyDescent="0.25">
      <c r="A33" s="163">
        <v>45928</v>
      </c>
      <c r="B33" s="175">
        <v>200</v>
      </c>
      <c r="C33" s="176">
        <v>210</v>
      </c>
      <c r="D33" s="176">
        <v>225</v>
      </c>
      <c r="E33" s="176"/>
      <c r="F33" s="165">
        <v>403</v>
      </c>
      <c r="G33" s="185"/>
      <c r="H33" s="165">
        <f>B33*0.2+SUM(C33:F33)*0.4</f>
        <v>375.20000000000005</v>
      </c>
      <c r="I33" s="187">
        <v>27683.590000000004</v>
      </c>
      <c r="J33" s="181">
        <f t="shared" si="1"/>
        <v>73.783555437100219</v>
      </c>
      <c r="K33" s="175">
        <v>48</v>
      </c>
      <c r="L33" s="177">
        <v>2684.5150000000003</v>
      </c>
      <c r="M33" s="178">
        <f t="shared" si="2"/>
        <v>55.927395833333343</v>
      </c>
      <c r="N33" s="164">
        <v>25</v>
      </c>
      <c r="O33" s="187">
        <v>1754.62</v>
      </c>
      <c r="P33" s="178">
        <f t="shared" si="3"/>
        <v>70.184799999999996</v>
      </c>
      <c r="Q33" s="164">
        <v>75</v>
      </c>
      <c r="R33" s="187">
        <v>4777.7500000000009</v>
      </c>
      <c r="S33" s="178">
        <f t="shared" si="4"/>
        <v>63.703333333333347</v>
      </c>
      <c r="T33" s="184"/>
      <c r="U33" s="185">
        <v>177</v>
      </c>
      <c r="V33" s="187">
        <v>2324.1600000000003</v>
      </c>
      <c r="W33" s="177">
        <f t="shared" si="7"/>
        <v>13.130847457627121</v>
      </c>
      <c r="X33" s="176">
        <v>128</v>
      </c>
      <c r="Y33" s="187">
        <v>881.79000000000008</v>
      </c>
      <c r="Z33" s="197">
        <f t="shared" si="5"/>
        <v>6.8889843750000006</v>
      </c>
      <c r="AA33" s="184"/>
      <c r="AB33" s="185"/>
      <c r="AC33" s="185"/>
      <c r="AD33" s="185"/>
      <c r="AE33" s="185"/>
      <c r="AF33" s="188"/>
      <c r="AG33" s="198">
        <v>106</v>
      </c>
      <c r="AH33" s="190">
        <v>1261.67</v>
      </c>
      <c r="AI33" s="172">
        <f t="shared" si="8"/>
        <v>11.902547169811321</v>
      </c>
      <c r="AJ33" s="199">
        <f t="shared" si="6"/>
        <v>41368.095000000008</v>
      </c>
    </row>
    <row r="34" spans="1:36" x14ac:dyDescent="0.25">
      <c r="A34" s="163">
        <v>45929</v>
      </c>
      <c r="B34" s="175">
        <v>200</v>
      </c>
      <c r="C34" s="176">
        <v>210</v>
      </c>
      <c r="D34" s="185">
        <v>249</v>
      </c>
      <c r="E34" s="176"/>
      <c r="F34" s="165">
        <v>400</v>
      </c>
      <c r="G34" s="185"/>
      <c r="H34" s="165">
        <f>B34*0.2+SUM(C34:F34)*0.4</f>
        <v>383.6</v>
      </c>
      <c r="I34" s="187">
        <v>33510.679999999993</v>
      </c>
      <c r="J34" s="181">
        <f t="shared" si="1"/>
        <v>87.358394160583913</v>
      </c>
      <c r="K34" s="175">
        <v>48</v>
      </c>
      <c r="L34" s="187">
        <v>2823.8649999999998</v>
      </c>
      <c r="M34" s="178">
        <f t="shared" si="2"/>
        <v>58.830520833333331</v>
      </c>
      <c r="N34" s="164">
        <v>25</v>
      </c>
      <c r="O34" s="187">
        <v>1443.48</v>
      </c>
      <c r="P34" s="178">
        <f t="shared" si="3"/>
        <v>57.739200000000004</v>
      </c>
      <c r="Q34" s="164">
        <v>75</v>
      </c>
      <c r="R34" s="187">
        <v>4512.4599999999991</v>
      </c>
      <c r="S34" s="178">
        <f t="shared" si="4"/>
        <v>60.16613333333332</v>
      </c>
      <c r="T34" s="184"/>
      <c r="U34" s="185">
        <v>36</v>
      </c>
      <c r="V34" s="187">
        <v>502.91</v>
      </c>
      <c r="W34" s="177">
        <f t="shared" si="7"/>
        <v>13.969722222222224</v>
      </c>
      <c r="X34" s="176">
        <v>128</v>
      </c>
      <c r="Y34" s="187">
        <v>893.55</v>
      </c>
      <c r="Z34" s="197">
        <f t="shared" si="5"/>
        <v>6.9808593749999996</v>
      </c>
      <c r="AA34" s="184"/>
      <c r="AB34" s="185"/>
      <c r="AC34" s="185"/>
      <c r="AD34" s="185"/>
      <c r="AE34" s="185"/>
      <c r="AF34" s="188"/>
      <c r="AG34" s="198">
        <v>106</v>
      </c>
      <c r="AH34" s="190">
        <v>1187.1300000000001</v>
      </c>
      <c r="AI34" s="172">
        <f t="shared" si="8"/>
        <v>11.19933962264151</v>
      </c>
      <c r="AJ34" s="199">
        <f t="shared" si="6"/>
        <v>44874.074999999997</v>
      </c>
    </row>
    <row r="35" spans="1:36" ht="15.75" thickBot="1" x14ac:dyDescent="0.3">
      <c r="A35" s="163">
        <v>45930</v>
      </c>
      <c r="B35" s="175">
        <v>200</v>
      </c>
      <c r="C35" s="176">
        <v>210</v>
      </c>
      <c r="D35" s="185">
        <v>233</v>
      </c>
      <c r="E35" s="176"/>
      <c r="F35" s="165">
        <v>400</v>
      </c>
      <c r="G35" s="185"/>
      <c r="H35" s="165">
        <f>B35*0.2+SUM(C35:F35)*0.4</f>
        <v>377.20000000000005</v>
      </c>
      <c r="I35" s="187">
        <v>42583.675699999993</v>
      </c>
      <c r="J35" s="181">
        <f t="shared" si="1"/>
        <v>112.89415615058321</v>
      </c>
      <c r="K35" s="175">
        <v>48</v>
      </c>
      <c r="L35" s="187">
        <v>3122.5</v>
      </c>
      <c r="M35" s="178">
        <f t="shared" si="2"/>
        <v>65.052083333333329</v>
      </c>
      <c r="N35" s="164">
        <v>25</v>
      </c>
      <c r="O35" s="187">
        <v>1932.8899999999999</v>
      </c>
      <c r="P35" s="178">
        <f t="shared" si="3"/>
        <v>77.315599999999989</v>
      </c>
      <c r="Q35" s="164">
        <v>75</v>
      </c>
      <c r="R35" s="187">
        <v>4924.6000000000004</v>
      </c>
      <c r="S35" s="178">
        <f t="shared" si="4"/>
        <v>65.661333333333332</v>
      </c>
      <c r="T35" s="184"/>
      <c r="U35" s="185">
        <v>36</v>
      </c>
      <c r="V35" s="187">
        <v>494.05</v>
      </c>
      <c r="W35" s="177">
        <f t="shared" si="7"/>
        <v>13.723611111111111</v>
      </c>
      <c r="X35" s="176">
        <v>227</v>
      </c>
      <c r="Y35" s="187">
        <v>1586.8799999999999</v>
      </c>
      <c r="Z35" s="197">
        <f t="shared" si="5"/>
        <v>6.990660792951541</v>
      </c>
      <c r="AA35" s="184"/>
      <c r="AB35" s="185"/>
      <c r="AC35" s="185"/>
      <c r="AD35" s="185"/>
      <c r="AE35" s="185"/>
      <c r="AF35" s="188"/>
      <c r="AG35" s="198">
        <v>106</v>
      </c>
      <c r="AH35" s="190">
        <v>1140.8200000000002</v>
      </c>
      <c r="AI35" s="172">
        <f t="shared" si="8"/>
        <v>10.76245283018868</v>
      </c>
      <c r="AJ35" s="199">
        <f t="shared" si="6"/>
        <v>55785.41569999999</v>
      </c>
    </row>
    <row r="36" spans="1:36" ht="26.25" thickBot="1" x14ac:dyDescent="0.3">
      <c r="A36" s="202" t="s">
        <v>77</v>
      </c>
      <c r="B36" s="195">
        <f t="shared" ref="B36:I36" si="9">SUM(B6:B35)</f>
        <v>5080</v>
      </c>
      <c r="C36" s="195">
        <f t="shared" si="9"/>
        <v>5380</v>
      </c>
      <c r="D36" s="195">
        <f t="shared" si="9"/>
        <v>5492</v>
      </c>
      <c r="E36" s="195">
        <f t="shared" si="9"/>
        <v>0</v>
      </c>
      <c r="F36" s="195">
        <f t="shared" si="9"/>
        <v>12052</v>
      </c>
      <c r="G36" s="195">
        <f t="shared" si="9"/>
        <v>119</v>
      </c>
      <c r="H36" s="195">
        <f t="shared" si="9"/>
        <v>10216.400000000001</v>
      </c>
      <c r="I36" s="195">
        <f t="shared" si="9"/>
        <v>809487.97519999999</v>
      </c>
      <c r="J36" s="195">
        <f>I36/H36</f>
        <v>79.234170079480037</v>
      </c>
      <c r="K36" s="195">
        <f>SUM(K6:K35)</f>
        <v>1425</v>
      </c>
      <c r="L36" s="195">
        <f>SUM(L6:L35)</f>
        <v>75379.704500000007</v>
      </c>
      <c r="M36" s="195">
        <f>L36/K36</f>
        <v>52.898038245614039</v>
      </c>
      <c r="N36" s="195">
        <f>SUM(N6:N35)</f>
        <v>750</v>
      </c>
      <c r="O36" s="195">
        <f>SUM(O6:O35)</f>
        <v>48624.070000000007</v>
      </c>
      <c r="P36" s="195">
        <f>O36/N36</f>
        <v>64.832093333333347</v>
      </c>
      <c r="Q36" s="195">
        <f>SUM(Q6:Q35)</f>
        <v>2250</v>
      </c>
      <c r="R36" s="195">
        <f>SUM(R6:R35)</f>
        <v>137236.19779999999</v>
      </c>
      <c r="S36" s="195">
        <f>R36/Q36</f>
        <v>60.993865688888889</v>
      </c>
      <c r="T36" s="195">
        <f>SUM(T6:T35)</f>
        <v>0</v>
      </c>
      <c r="U36" s="195">
        <f>SUM(U6:U35)</f>
        <v>1455</v>
      </c>
      <c r="V36" s="195">
        <f>SUM(V6:V35)</f>
        <v>20133.374999999996</v>
      </c>
      <c r="W36" s="195"/>
      <c r="X36" s="195">
        <f t="shared" ref="X36:AH36" si="10">SUM(X6:X35)</f>
        <v>3091</v>
      </c>
      <c r="Y36" s="195">
        <f t="shared" si="10"/>
        <v>21131.420000000002</v>
      </c>
      <c r="Z36" s="195">
        <f t="shared" si="10"/>
        <v>205.13523463841159</v>
      </c>
      <c r="AA36" s="195">
        <f t="shared" si="10"/>
        <v>0</v>
      </c>
      <c r="AB36" s="195">
        <f t="shared" si="10"/>
        <v>0</v>
      </c>
      <c r="AC36" s="195">
        <f t="shared" si="10"/>
        <v>0</v>
      </c>
      <c r="AD36" s="195">
        <f t="shared" si="10"/>
        <v>0</v>
      </c>
      <c r="AE36" s="195">
        <f t="shared" si="10"/>
        <v>0</v>
      </c>
      <c r="AF36" s="195" t="e">
        <f t="shared" si="10"/>
        <v>#DIV/0!</v>
      </c>
      <c r="AG36" s="195">
        <f t="shared" si="10"/>
        <v>3180</v>
      </c>
      <c r="AH36" s="195">
        <f t="shared" si="10"/>
        <v>35555.206999999995</v>
      </c>
      <c r="AI36" s="195">
        <f>AH36/AG36</f>
        <v>11.180882704402514</v>
      </c>
      <c r="AJ36" s="203">
        <f>SUM(AJ6:AJ35)</f>
        <v>1147547.9495000001</v>
      </c>
    </row>
  </sheetData>
  <sheetProtection algorithmName="SHA-512" hashValue="8UQk/8qjjg+rXzbs+/jAq7KAW8IFcuGxfqbfr8VZ3pTL/46EV4sHQA4BtoPpiXgKENtxnmHmx5XeUEQtloQTkA==" saltValue="YrxjheJbME8JTiDfSJEvvQ==" spinCount="100000" sheet="1" scenarios="1" sort="0" autoFilter="0"/>
  <mergeCells count="10">
    <mergeCell ref="A1:AJ1"/>
    <mergeCell ref="A2:AJ2"/>
    <mergeCell ref="A3:AJ3"/>
    <mergeCell ref="B4:J4"/>
    <mergeCell ref="K4:M4"/>
    <mergeCell ref="N4:P4"/>
    <mergeCell ref="Q4:S4"/>
    <mergeCell ref="T4:Z4"/>
    <mergeCell ref="AA4:AF4"/>
    <mergeCell ref="AG4:AI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6D4D-0E32-4F07-8E43-958780CE1B33}">
  <dimension ref="A1:AJ37"/>
  <sheetViews>
    <sheetView zoomScale="80" zoomScaleNormal="80" workbookViewId="0">
      <selection activeCell="Q41" sqref="Q41"/>
    </sheetView>
  </sheetViews>
  <sheetFormatPr defaultRowHeight="15" x14ac:dyDescent="0.25"/>
  <cols>
    <col min="2" max="4" width="10.140625" bestFit="1" customWidth="1"/>
    <col min="6" max="6" width="11.28515625" bestFit="1" customWidth="1"/>
    <col min="8" max="8" width="11.28515625" bestFit="1" customWidth="1"/>
    <col min="9" max="9" width="12.28515625" bestFit="1" customWidth="1"/>
    <col min="10" max="10" width="13" bestFit="1" customWidth="1"/>
    <col min="11" max="11" width="10.140625" bestFit="1" customWidth="1"/>
    <col min="12" max="12" width="11.28515625" bestFit="1" customWidth="1"/>
    <col min="13" max="13" width="13" bestFit="1" customWidth="1"/>
    <col min="15" max="15" width="11.28515625" bestFit="1" customWidth="1"/>
    <col min="17" max="17" width="10.140625" bestFit="1" customWidth="1"/>
    <col min="18" max="18" width="12.28515625" bestFit="1" customWidth="1"/>
    <col min="22" max="22" width="11.28515625" bestFit="1" customWidth="1"/>
    <col min="24" max="24" width="10.140625" bestFit="1" customWidth="1"/>
    <col min="25" max="25" width="11.28515625" bestFit="1" customWidth="1"/>
    <col min="33" max="33" width="14.85546875" bestFit="1" customWidth="1"/>
    <col min="34" max="34" width="11.28515625" bestFit="1" customWidth="1"/>
    <col min="36" max="36" width="13.85546875" bestFit="1" customWidth="1"/>
  </cols>
  <sheetData>
    <row r="1" spans="1:36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36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36" ht="21.75" thickBot="1" x14ac:dyDescent="0.4">
      <c r="A3" s="308" t="s">
        <v>86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36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63</v>
      </c>
      <c r="O4" s="315"/>
      <c r="P4" s="318"/>
      <c r="Q4" s="314" t="s">
        <v>64</v>
      </c>
      <c r="R4" s="315"/>
      <c r="S4" s="318"/>
      <c r="T4" s="314" t="s">
        <v>65</v>
      </c>
      <c r="U4" s="315"/>
      <c r="V4" s="315"/>
      <c r="W4" s="315"/>
      <c r="X4" s="315"/>
      <c r="Y4" s="315"/>
      <c r="Z4" s="318"/>
      <c r="AA4" s="378" t="s">
        <v>66</v>
      </c>
      <c r="AB4" s="379"/>
      <c r="AC4" s="379"/>
      <c r="AD4" s="379"/>
      <c r="AE4" s="379"/>
      <c r="AF4" s="380"/>
      <c r="AG4" s="320" t="s">
        <v>67</v>
      </c>
      <c r="AH4" s="321"/>
      <c r="AI4" s="322"/>
      <c r="AJ4" s="144" t="s">
        <v>68</v>
      </c>
    </row>
    <row r="5" spans="1:36" ht="39.75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48" t="s">
        <v>69</v>
      </c>
      <c r="O5" s="149" t="s">
        <v>0</v>
      </c>
      <c r="P5" s="150" t="s">
        <v>70</v>
      </c>
      <c r="Q5" s="148" t="s">
        <v>69</v>
      </c>
      <c r="R5" s="149" t="s">
        <v>0</v>
      </c>
      <c r="S5" s="150" t="s">
        <v>70</v>
      </c>
      <c r="T5" s="151" t="s">
        <v>71</v>
      </c>
      <c r="U5" s="152" t="s">
        <v>72</v>
      </c>
      <c r="V5" s="152" t="s">
        <v>73</v>
      </c>
      <c r="W5" s="152" t="s">
        <v>79</v>
      </c>
      <c r="X5" s="153" t="s">
        <v>21</v>
      </c>
      <c r="Y5" s="153" t="s">
        <v>74</v>
      </c>
      <c r="Z5" s="154" t="s">
        <v>16</v>
      </c>
      <c r="AA5" s="155" t="s">
        <v>2</v>
      </c>
      <c r="AB5" s="156" t="s">
        <v>3</v>
      </c>
      <c r="AC5" s="156" t="s">
        <v>4</v>
      </c>
      <c r="AD5" s="157" t="s">
        <v>69</v>
      </c>
      <c r="AE5" s="158" t="s">
        <v>0</v>
      </c>
      <c r="AF5" s="159" t="s">
        <v>70</v>
      </c>
      <c r="AG5" s="160" t="s">
        <v>75</v>
      </c>
      <c r="AH5" s="161" t="s">
        <v>30</v>
      </c>
      <c r="AI5" s="162" t="s">
        <v>76</v>
      </c>
      <c r="AJ5" s="144" t="s">
        <v>68</v>
      </c>
    </row>
    <row r="6" spans="1:36" x14ac:dyDescent="0.25">
      <c r="A6" s="163">
        <v>45931</v>
      </c>
      <c r="B6" s="164">
        <v>200</v>
      </c>
      <c r="C6" s="165">
        <v>210</v>
      </c>
      <c r="D6" s="165">
        <v>205</v>
      </c>
      <c r="E6" s="165"/>
      <c r="F6" s="165">
        <v>406</v>
      </c>
      <c r="G6" s="165"/>
      <c r="H6" s="165">
        <f>B6*0.2+SUM(C6:F6)*0.4</f>
        <v>368.40000000000003</v>
      </c>
      <c r="I6" s="167">
        <v>30665.25</v>
      </c>
      <c r="J6" s="166">
        <f>I6/H6</f>
        <v>83.239006514657973</v>
      </c>
      <c r="K6" s="164">
        <v>45</v>
      </c>
      <c r="L6" s="177">
        <f>2180.45+700</f>
        <v>2880.45</v>
      </c>
      <c r="M6" s="168">
        <f>L6/K6</f>
        <v>64.009999999999991</v>
      </c>
      <c r="N6" s="164">
        <v>25</v>
      </c>
      <c r="O6" s="167">
        <v>1505.7950000000001</v>
      </c>
      <c r="P6" s="168">
        <f>O6/N6</f>
        <v>60.2318</v>
      </c>
      <c r="Q6" s="164">
        <v>75</v>
      </c>
      <c r="R6" s="167">
        <v>4765.88</v>
      </c>
      <c r="S6" s="168">
        <f>R6/Q6</f>
        <v>63.545066666666671</v>
      </c>
      <c r="T6" s="164"/>
      <c r="U6" s="165">
        <v>36</v>
      </c>
      <c r="V6" s="165">
        <v>504.21</v>
      </c>
      <c r="W6" s="177">
        <f>V6/U6</f>
        <v>14.005833333333333</v>
      </c>
      <c r="X6" s="165">
        <v>128</v>
      </c>
      <c r="Y6" s="167">
        <v>896.28</v>
      </c>
      <c r="Z6" s="197">
        <f>Y6/X6</f>
        <v>7.0021874999999998</v>
      </c>
      <c r="AA6" s="164"/>
      <c r="AB6" s="165"/>
      <c r="AC6" s="165"/>
      <c r="AD6" s="165"/>
      <c r="AE6" s="165"/>
      <c r="AF6" s="169" t="e">
        <f>AE6/AD6</f>
        <v>#DIV/0!</v>
      </c>
      <c r="AG6" s="198">
        <v>106</v>
      </c>
      <c r="AH6" s="171">
        <v>1175.43</v>
      </c>
      <c r="AI6" s="172">
        <f>AH6/AG6</f>
        <v>11.088962264150943</v>
      </c>
      <c r="AJ6" s="199">
        <f>I6+L6+O6+R6+V6+Y6+AH6</f>
        <v>42393.294999999991</v>
      </c>
    </row>
    <row r="7" spans="1:36" x14ac:dyDescent="0.25">
      <c r="A7" s="163">
        <v>45932</v>
      </c>
      <c r="B7" s="164">
        <v>200</v>
      </c>
      <c r="C7" s="165">
        <v>210</v>
      </c>
      <c r="D7" s="165">
        <v>205</v>
      </c>
      <c r="E7" s="176"/>
      <c r="F7" s="165">
        <v>404</v>
      </c>
      <c r="G7" s="176"/>
      <c r="H7" s="165">
        <f t="shared" ref="H7:H32" si="0">B7*0.2+SUM(C7:F7)*0.4</f>
        <v>367.6</v>
      </c>
      <c r="I7" s="177">
        <v>22911.625</v>
      </c>
      <c r="J7" s="166">
        <f t="shared" ref="J7:J36" si="1">I7/H7</f>
        <v>62.327597932535362</v>
      </c>
      <c r="K7" s="175">
        <v>47</v>
      </c>
      <c r="L7" s="177">
        <f>2392.37+700</f>
        <v>3092.37</v>
      </c>
      <c r="M7" s="178">
        <f t="shared" ref="M7:M36" si="2">L7/K7</f>
        <v>65.795106382978716</v>
      </c>
      <c r="N7" s="164">
        <v>25</v>
      </c>
      <c r="O7" s="177">
        <v>1472.4349999999999</v>
      </c>
      <c r="P7" s="178">
        <f t="shared" ref="P7:P36" si="3">O7/N7</f>
        <v>58.897399999999998</v>
      </c>
      <c r="Q7" s="164">
        <v>75</v>
      </c>
      <c r="R7" s="177">
        <v>4057.375</v>
      </c>
      <c r="S7" s="178">
        <f t="shared" ref="S7:S36" si="4">R7/Q7</f>
        <v>54.098333333333336</v>
      </c>
      <c r="T7" s="175"/>
      <c r="U7" s="165">
        <v>36</v>
      </c>
      <c r="V7" s="200">
        <v>505.38</v>
      </c>
      <c r="W7" s="177">
        <f>V7/U7</f>
        <v>14.038333333333334</v>
      </c>
      <c r="X7" s="165">
        <v>128</v>
      </c>
      <c r="Y7" s="167">
        <v>863.7800000000002</v>
      </c>
      <c r="Z7" s="197">
        <f t="shared" ref="Z7:Z36" si="5">Y7/X7</f>
        <v>6.7482812500000016</v>
      </c>
      <c r="AA7" s="175"/>
      <c r="AB7" s="176"/>
      <c r="AC7" s="176"/>
      <c r="AD7" s="176"/>
      <c r="AE7" s="176"/>
      <c r="AF7" s="179"/>
      <c r="AG7" s="198">
        <v>106</v>
      </c>
      <c r="AH7" s="104">
        <v>1171.27</v>
      </c>
      <c r="AI7" s="172">
        <f>AH7/AG7</f>
        <v>11.049716981132075</v>
      </c>
      <c r="AJ7" s="199">
        <f t="shared" ref="AJ7:AJ36" si="6">I7+L7+O7+R7+V7+Y7+AH7</f>
        <v>34074.235000000001</v>
      </c>
    </row>
    <row r="8" spans="1:36" x14ac:dyDescent="0.25">
      <c r="A8" s="163">
        <v>45933</v>
      </c>
      <c r="B8" s="164">
        <v>85</v>
      </c>
      <c r="C8" s="165">
        <v>95</v>
      </c>
      <c r="D8" s="165">
        <v>86</v>
      </c>
      <c r="E8" s="176"/>
      <c r="F8" s="165">
        <v>382</v>
      </c>
      <c r="G8" s="176"/>
      <c r="H8" s="165">
        <f t="shared" si="0"/>
        <v>242.20000000000002</v>
      </c>
      <c r="I8" s="177">
        <v>17315.599999999995</v>
      </c>
      <c r="J8" s="166">
        <f t="shared" si="1"/>
        <v>71.492981007431851</v>
      </c>
      <c r="K8" s="175">
        <v>44</v>
      </c>
      <c r="L8" s="177">
        <f>1552.42+700</f>
        <v>2252.42</v>
      </c>
      <c r="M8" s="178">
        <f t="shared" si="2"/>
        <v>51.19136363636364</v>
      </c>
      <c r="N8" s="164">
        <v>25</v>
      </c>
      <c r="O8" s="177">
        <v>1498.6100000000001</v>
      </c>
      <c r="P8" s="178">
        <f t="shared" si="3"/>
        <v>59.944400000000002</v>
      </c>
      <c r="Q8" s="164">
        <v>75</v>
      </c>
      <c r="R8" s="177">
        <v>4308.5140000000001</v>
      </c>
      <c r="S8" s="178">
        <f t="shared" si="4"/>
        <v>57.446853333333337</v>
      </c>
      <c r="T8" s="175"/>
      <c r="U8" s="165">
        <v>28</v>
      </c>
      <c r="V8" s="177">
        <v>395.64</v>
      </c>
      <c r="W8" s="177">
        <f>V8/U8</f>
        <v>14.129999999999999</v>
      </c>
      <c r="X8" s="176">
        <v>11</v>
      </c>
      <c r="Y8" s="167">
        <v>75.95</v>
      </c>
      <c r="Z8" s="197">
        <f t="shared" si="5"/>
        <v>6.9045454545454552</v>
      </c>
      <c r="AA8" s="175"/>
      <c r="AB8" s="176"/>
      <c r="AC8" s="176"/>
      <c r="AD8" s="176"/>
      <c r="AE8" s="176"/>
      <c r="AF8" s="179"/>
      <c r="AG8" s="198">
        <v>106</v>
      </c>
      <c r="AH8" s="104">
        <v>1165.92</v>
      </c>
      <c r="AI8" s="172">
        <f>AH8/AG8</f>
        <v>10.999245283018869</v>
      </c>
      <c r="AJ8" s="199">
        <f>I8+L8+O8+R8+V8+Y8+AH8</f>
        <v>27012.653999999995</v>
      </c>
    </row>
    <row r="9" spans="1:36" x14ac:dyDescent="0.25">
      <c r="A9" s="163">
        <v>45934</v>
      </c>
      <c r="B9" s="164">
        <v>85</v>
      </c>
      <c r="C9" s="165">
        <v>95</v>
      </c>
      <c r="D9" s="165">
        <v>85</v>
      </c>
      <c r="E9" s="176"/>
      <c r="F9" s="165">
        <v>382</v>
      </c>
      <c r="G9" s="176"/>
      <c r="H9" s="165">
        <f t="shared" si="0"/>
        <v>241.8</v>
      </c>
      <c r="I9" s="177">
        <v>18236.517999999996</v>
      </c>
      <c r="J9" s="181">
        <f t="shared" si="1"/>
        <v>75.419842845326698</v>
      </c>
      <c r="K9" s="175">
        <v>47</v>
      </c>
      <c r="L9" s="205">
        <f>1627.95+700</f>
        <v>2327.9499999999998</v>
      </c>
      <c r="M9" s="178">
        <f t="shared" si="2"/>
        <v>49.530851063829786</v>
      </c>
      <c r="N9" s="164">
        <v>25</v>
      </c>
      <c r="O9" s="177">
        <v>1555.6799999999998</v>
      </c>
      <c r="P9" s="178">
        <f t="shared" si="3"/>
        <v>62.227199999999996</v>
      </c>
      <c r="Q9" s="164">
        <v>75</v>
      </c>
      <c r="R9" s="177">
        <v>4800.6599999999989</v>
      </c>
      <c r="S9" s="178">
        <f t="shared" si="4"/>
        <v>64.008799999999979</v>
      </c>
      <c r="T9" s="175"/>
      <c r="U9" s="165">
        <v>28</v>
      </c>
      <c r="V9" s="177">
        <v>391.39</v>
      </c>
      <c r="W9" s="177">
        <f t="shared" ref="W9:W36" si="7">V9/U9</f>
        <v>13.978214285714285</v>
      </c>
      <c r="X9" s="176">
        <v>11</v>
      </c>
      <c r="Y9" s="167">
        <v>77.33</v>
      </c>
      <c r="Z9" s="197">
        <f t="shared" si="5"/>
        <v>7.03</v>
      </c>
      <c r="AA9" s="175"/>
      <c r="AB9" s="176"/>
      <c r="AC9" s="176"/>
      <c r="AD9" s="176"/>
      <c r="AE9" s="176"/>
      <c r="AF9" s="179"/>
      <c r="AG9" s="198">
        <v>106</v>
      </c>
      <c r="AH9" s="104">
        <v>1233.32</v>
      </c>
      <c r="AI9" s="172">
        <f>AH9/AG9</f>
        <v>11.635094339622642</v>
      </c>
      <c r="AJ9" s="199">
        <f t="shared" si="6"/>
        <v>28622.847999999998</v>
      </c>
    </row>
    <row r="10" spans="1:36" x14ac:dyDescent="0.25">
      <c r="A10" s="163">
        <v>45935</v>
      </c>
      <c r="B10" s="164">
        <v>200</v>
      </c>
      <c r="C10" s="165">
        <v>210</v>
      </c>
      <c r="D10" s="176">
        <v>257</v>
      </c>
      <c r="E10" s="176"/>
      <c r="F10" s="165">
        <v>406</v>
      </c>
      <c r="G10" s="176"/>
      <c r="H10" s="165">
        <f>B10*0.2+SUM(C10:F10)*0.4+G10*40%</f>
        <v>389.20000000000005</v>
      </c>
      <c r="I10" s="177">
        <v>28776.320000000003</v>
      </c>
      <c r="J10" s="181">
        <f t="shared" si="1"/>
        <v>73.937101747173685</v>
      </c>
      <c r="K10" s="175">
        <v>47</v>
      </c>
      <c r="L10" s="177">
        <f>1746.975+700</f>
        <v>2446.9749999999999</v>
      </c>
      <c r="M10" s="178">
        <f t="shared" si="2"/>
        <v>52.063297872340421</v>
      </c>
      <c r="N10" s="164">
        <v>25</v>
      </c>
      <c r="O10" s="177">
        <v>1579.1150000000002</v>
      </c>
      <c r="P10" s="178">
        <f t="shared" si="3"/>
        <v>63.164600000000007</v>
      </c>
      <c r="Q10" s="164">
        <v>75</v>
      </c>
      <c r="R10" s="177">
        <v>5575.9</v>
      </c>
      <c r="S10" s="178">
        <f t="shared" si="4"/>
        <v>74.345333333333329</v>
      </c>
      <c r="T10" s="175"/>
      <c r="U10" s="176">
        <v>36</v>
      </c>
      <c r="V10" s="177">
        <v>337.67999999999995</v>
      </c>
      <c r="W10" s="177">
        <f t="shared" si="7"/>
        <v>9.379999999999999</v>
      </c>
      <c r="X10" s="176">
        <v>270</v>
      </c>
      <c r="Y10" s="167">
        <v>1540.89</v>
      </c>
      <c r="Z10" s="197">
        <f t="shared" si="5"/>
        <v>5.7070000000000007</v>
      </c>
      <c r="AA10" s="175"/>
      <c r="AB10" s="176"/>
      <c r="AC10" s="176"/>
      <c r="AD10" s="176"/>
      <c r="AE10" s="176"/>
      <c r="AF10" s="179"/>
      <c r="AG10" s="198">
        <v>106</v>
      </c>
      <c r="AH10" s="104">
        <v>1224.0099999999998</v>
      </c>
      <c r="AI10" s="172">
        <f t="shared" ref="AI10:AI36" si="8">AH10/AG10</f>
        <v>11.547264150943395</v>
      </c>
      <c r="AJ10" s="199">
        <f t="shared" si="6"/>
        <v>41480.890000000007</v>
      </c>
    </row>
    <row r="11" spans="1:36" x14ac:dyDescent="0.25">
      <c r="A11" s="163">
        <v>45936</v>
      </c>
      <c r="B11" s="164">
        <v>200</v>
      </c>
      <c r="C11" s="165">
        <v>210</v>
      </c>
      <c r="D11" s="176">
        <v>228</v>
      </c>
      <c r="E11" s="176"/>
      <c r="F11" s="165">
        <v>417</v>
      </c>
      <c r="G11" s="176"/>
      <c r="H11" s="165">
        <f>B11*0.2+SUM(C11:D11:G11)*0.4</f>
        <v>382</v>
      </c>
      <c r="I11" s="177">
        <v>29903.120000000003</v>
      </c>
      <c r="J11" s="181">
        <f t="shared" si="1"/>
        <v>78.280418848167542</v>
      </c>
      <c r="K11" s="175">
        <v>47</v>
      </c>
      <c r="L11" s="177">
        <f>1839.5+700</f>
        <v>2539.5</v>
      </c>
      <c r="M11" s="178">
        <f t="shared" si="2"/>
        <v>54.031914893617021</v>
      </c>
      <c r="N11" s="164">
        <v>25</v>
      </c>
      <c r="O11" s="206">
        <v>1506.82</v>
      </c>
      <c r="P11" s="178">
        <f t="shared" si="3"/>
        <v>60.272799999999997</v>
      </c>
      <c r="Q11" s="164">
        <v>75</v>
      </c>
      <c r="R11" s="207">
        <v>5134.0550000000003</v>
      </c>
      <c r="S11" s="178">
        <f t="shared" si="4"/>
        <v>68.454066666666677</v>
      </c>
      <c r="T11" s="175"/>
      <c r="U11" s="176">
        <v>36</v>
      </c>
      <c r="V11" s="177">
        <v>482.09999999999991</v>
      </c>
      <c r="W11" s="177">
        <f t="shared" si="7"/>
        <v>13.391666666666664</v>
      </c>
      <c r="X11" s="176">
        <v>128</v>
      </c>
      <c r="Y11" s="167">
        <v>885.87</v>
      </c>
      <c r="Z11" s="197">
        <f t="shared" si="5"/>
        <v>6.920859375</v>
      </c>
      <c r="AA11" s="175"/>
      <c r="AB11" s="176"/>
      <c r="AC11" s="176"/>
      <c r="AD11" s="176"/>
      <c r="AE11" s="176"/>
      <c r="AF11" s="179"/>
      <c r="AG11" s="198">
        <v>106</v>
      </c>
      <c r="AH11" s="104">
        <v>1181.68</v>
      </c>
      <c r="AI11" s="172">
        <f t="shared" si="8"/>
        <v>11.147924528301887</v>
      </c>
      <c r="AJ11" s="199">
        <f t="shared" si="6"/>
        <v>41633.145000000004</v>
      </c>
    </row>
    <row r="12" spans="1:36" x14ac:dyDescent="0.25">
      <c r="A12" s="163">
        <v>45937</v>
      </c>
      <c r="B12" s="164">
        <v>200</v>
      </c>
      <c r="C12" s="165">
        <v>210</v>
      </c>
      <c r="D12" s="176">
        <v>221</v>
      </c>
      <c r="E12" s="176"/>
      <c r="F12" s="165">
        <v>417</v>
      </c>
      <c r="G12" s="176"/>
      <c r="H12" s="165">
        <f>B12*0.2+SUM(C12:G12)*0.4</f>
        <v>379.20000000000005</v>
      </c>
      <c r="I12" s="177">
        <v>28378.31</v>
      </c>
      <c r="J12" s="181">
        <f t="shared" si="1"/>
        <v>74.837315400843877</v>
      </c>
      <c r="K12" s="175">
        <v>47</v>
      </c>
      <c r="L12" s="177">
        <f>1595.8+800</f>
        <v>2395.8000000000002</v>
      </c>
      <c r="M12" s="178">
        <f t="shared" si="2"/>
        <v>50.974468085106388</v>
      </c>
      <c r="N12" s="164">
        <v>25</v>
      </c>
      <c r="O12" s="177">
        <v>1545.1599999999999</v>
      </c>
      <c r="P12" s="178">
        <f t="shared" si="3"/>
        <v>61.806399999999996</v>
      </c>
      <c r="Q12" s="164">
        <v>75</v>
      </c>
      <c r="R12" s="177">
        <v>5144.6260000000002</v>
      </c>
      <c r="S12" s="178">
        <f t="shared" si="4"/>
        <v>68.595013333333341</v>
      </c>
      <c r="T12" s="175"/>
      <c r="U12" s="176">
        <v>36</v>
      </c>
      <c r="V12" s="177">
        <v>501.43999999999994</v>
      </c>
      <c r="W12" s="177">
        <f t="shared" si="7"/>
        <v>13.928888888888887</v>
      </c>
      <c r="X12" s="176">
        <v>128</v>
      </c>
      <c r="Y12" s="167">
        <v>892.86</v>
      </c>
      <c r="Z12" s="197">
        <f t="shared" si="5"/>
        <v>6.9754687500000001</v>
      </c>
      <c r="AA12" s="175"/>
      <c r="AB12" s="176"/>
      <c r="AC12" s="176"/>
      <c r="AD12" s="176"/>
      <c r="AE12" s="176"/>
      <c r="AF12" s="179"/>
      <c r="AG12" s="198">
        <v>106</v>
      </c>
      <c r="AH12" s="104">
        <v>1156.7599999999998</v>
      </c>
      <c r="AI12" s="172">
        <f t="shared" si="8"/>
        <v>10.912830188679242</v>
      </c>
      <c r="AJ12" s="199">
        <f t="shared" si="6"/>
        <v>40014.956000000006</v>
      </c>
    </row>
    <row r="13" spans="1:36" x14ac:dyDescent="0.25">
      <c r="A13" s="163">
        <v>45938</v>
      </c>
      <c r="B13" s="164">
        <v>200</v>
      </c>
      <c r="C13" s="165">
        <v>210</v>
      </c>
      <c r="D13" s="176">
        <v>222</v>
      </c>
      <c r="E13" s="176"/>
      <c r="F13" s="165">
        <v>406</v>
      </c>
      <c r="G13" s="176"/>
      <c r="H13" s="165">
        <f>B13*0.2+SUM(C13:D13:G13)*0.4</f>
        <v>375.20000000000005</v>
      </c>
      <c r="I13" s="177">
        <v>23333.800000000003</v>
      </c>
      <c r="J13" s="181">
        <f t="shared" si="1"/>
        <v>62.190298507462686</v>
      </c>
      <c r="K13" s="175">
        <v>47</v>
      </c>
      <c r="L13" s="177">
        <f>1927.52+700</f>
        <v>2627.52</v>
      </c>
      <c r="M13" s="178">
        <f t="shared" si="2"/>
        <v>55.90468085106383</v>
      </c>
      <c r="N13" s="164">
        <v>25</v>
      </c>
      <c r="O13" s="177">
        <v>1747.2199999999998</v>
      </c>
      <c r="P13" s="178">
        <f t="shared" si="3"/>
        <v>69.888799999999989</v>
      </c>
      <c r="Q13" s="164">
        <v>75</v>
      </c>
      <c r="R13" s="177">
        <v>5340.7900000000009</v>
      </c>
      <c r="S13" s="178">
        <f t="shared" si="4"/>
        <v>71.210533333333345</v>
      </c>
      <c r="T13" s="175"/>
      <c r="U13" s="176">
        <v>32</v>
      </c>
      <c r="V13" s="177">
        <v>447.1</v>
      </c>
      <c r="W13" s="177">
        <f t="shared" si="7"/>
        <v>13.971875000000001</v>
      </c>
      <c r="X13" s="176">
        <v>118</v>
      </c>
      <c r="Y13" s="167">
        <v>838.26</v>
      </c>
      <c r="Z13" s="197">
        <f t="shared" si="5"/>
        <v>7.103898305084746</v>
      </c>
      <c r="AA13" s="175"/>
      <c r="AB13" s="176"/>
      <c r="AC13" s="176"/>
      <c r="AD13" s="176"/>
      <c r="AE13" s="176"/>
      <c r="AF13" s="179"/>
      <c r="AG13" s="198">
        <v>106</v>
      </c>
      <c r="AH13" s="104">
        <v>1218.46</v>
      </c>
      <c r="AI13" s="172">
        <f t="shared" si="8"/>
        <v>11.494905660377359</v>
      </c>
      <c r="AJ13" s="199">
        <f t="shared" si="6"/>
        <v>35553.15</v>
      </c>
    </row>
    <row r="14" spans="1:36" x14ac:dyDescent="0.25">
      <c r="A14" s="163">
        <v>45939</v>
      </c>
      <c r="B14" s="164">
        <v>200</v>
      </c>
      <c r="C14" s="165">
        <v>210</v>
      </c>
      <c r="D14" s="176">
        <v>205</v>
      </c>
      <c r="E14" s="176"/>
      <c r="F14" s="165">
        <v>406</v>
      </c>
      <c r="G14" s="176"/>
      <c r="H14" s="165">
        <f t="shared" si="0"/>
        <v>368.40000000000003</v>
      </c>
      <c r="I14" s="177">
        <v>17118.5</v>
      </c>
      <c r="J14" s="181">
        <f t="shared" si="1"/>
        <v>46.467155266015197</v>
      </c>
      <c r="K14" s="175">
        <v>47</v>
      </c>
      <c r="L14" s="177">
        <f>1714.58+700</f>
        <v>2414.58</v>
      </c>
      <c r="M14" s="178">
        <f t="shared" si="2"/>
        <v>51.374042553191487</v>
      </c>
      <c r="N14" s="164">
        <v>25</v>
      </c>
      <c r="O14" s="177">
        <v>1381.335</v>
      </c>
      <c r="P14" s="178">
        <f t="shared" si="3"/>
        <v>55.253399999999999</v>
      </c>
      <c r="Q14" s="164">
        <v>75</v>
      </c>
      <c r="R14" s="177">
        <v>4752.5599999999995</v>
      </c>
      <c r="S14" s="178">
        <f t="shared" si="4"/>
        <v>63.367466666666658</v>
      </c>
      <c r="T14" s="175"/>
      <c r="U14" s="176">
        <v>32</v>
      </c>
      <c r="V14" s="177">
        <v>447.12</v>
      </c>
      <c r="W14" s="177">
        <f t="shared" si="7"/>
        <v>13.9725</v>
      </c>
      <c r="X14" s="176">
        <v>118</v>
      </c>
      <c r="Y14" s="177">
        <v>821.09999999999991</v>
      </c>
      <c r="Z14" s="197">
        <f t="shared" si="5"/>
        <v>6.9584745762711853</v>
      </c>
      <c r="AA14" s="175"/>
      <c r="AB14" s="176"/>
      <c r="AC14" s="176"/>
      <c r="AD14" s="176"/>
      <c r="AE14" s="176"/>
      <c r="AF14" s="179"/>
      <c r="AG14" s="198">
        <v>106</v>
      </c>
      <c r="AH14" s="104">
        <v>1096.58</v>
      </c>
      <c r="AI14" s="172">
        <f t="shared" si="8"/>
        <v>10.345094339622641</v>
      </c>
      <c r="AJ14" s="199">
        <f t="shared" si="6"/>
        <v>28031.774999999994</v>
      </c>
    </row>
    <row r="15" spans="1:36" x14ac:dyDescent="0.25">
      <c r="A15" s="163">
        <v>45940</v>
      </c>
      <c r="B15" s="175">
        <v>85</v>
      </c>
      <c r="C15" s="176">
        <v>95</v>
      </c>
      <c r="D15" s="176">
        <v>85</v>
      </c>
      <c r="E15" s="176"/>
      <c r="F15" s="165">
        <v>382</v>
      </c>
      <c r="G15" s="176"/>
      <c r="H15" s="165">
        <f t="shared" si="0"/>
        <v>241.8</v>
      </c>
      <c r="I15" s="177">
        <v>21286.02</v>
      </c>
      <c r="J15" s="181">
        <f t="shared" si="1"/>
        <v>88.031513647642683</v>
      </c>
      <c r="K15" s="175">
        <v>47</v>
      </c>
      <c r="L15" s="177">
        <f>1745.88+700</f>
        <v>2445.88</v>
      </c>
      <c r="M15" s="178">
        <f t="shared" si="2"/>
        <v>52.04</v>
      </c>
      <c r="N15" s="164">
        <v>25</v>
      </c>
      <c r="O15" s="177">
        <v>1283.7950000000001</v>
      </c>
      <c r="P15" s="178">
        <f t="shared" si="3"/>
        <v>51.351800000000004</v>
      </c>
      <c r="Q15" s="164">
        <v>75</v>
      </c>
      <c r="R15" s="177">
        <v>4386.0200000000004</v>
      </c>
      <c r="S15" s="178">
        <f t="shared" si="4"/>
        <v>58.480266666666672</v>
      </c>
      <c r="T15" s="175"/>
      <c r="U15" s="176">
        <v>24</v>
      </c>
      <c r="V15" s="177">
        <v>330.91999999999996</v>
      </c>
      <c r="W15" s="177">
        <f t="shared" si="7"/>
        <v>13.788333333333332</v>
      </c>
      <c r="X15" s="176">
        <v>11</v>
      </c>
      <c r="Y15" s="177">
        <v>78.05</v>
      </c>
      <c r="Z15" s="197">
        <f t="shared" si="5"/>
        <v>7.0954545454545448</v>
      </c>
      <c r="AA15" s="175"/>
      <c r="AB15" s="176"/>
      <c r="AC15" s="176"/>
      <c r="AD15" s="176"/>
      <c r="AE15" s="176"/>
      <c r="AF15" s="179"/>
      <c r="AG15" s="198">
        <v>106</v>
      </c>
      <c r="AH15" s="104">
        <v>1362.98</v>
      </c>
      <c r="AI15" s="172">
        <f t="shared" si="8"/>
        <v>12.858301886792454</v>
      </c>
      <c r="AJ15" s="199">
        <f t="shared" si="6"/>
        <v>31173.664999999997</v>
      </c>
    </row>
    <row r="16" spans="1:36" x14ac:dyDescent="0.25">
      <c r="A16" s="163">
        <v>45941</v>
      </c>
      <c r="B16" s="175">
        <v>85</v>
      </c>
      <c r="C16" s="176">
        <v>95</v>
      </c>
      <c r="D16" s="176">
        <v>85</v>
      </c>
      <c r="E16" s="176"/>
      <c r="F16" s="165">
        <v>382</v>
      </c>
      <c r="G16" s="176"/>
      <c r="H16" s="165">
        <f t="shared" si="0"/>
        <v>241.8</v>
      </c>
      <c r="I16" s="177">
        <v>19739.11</v>
      </c>
      <c r="J16" s="181">
        <f t="shared" si="1"/>
        <v>81.634036393713814</v>
      </c>
      <c r="K16" s="175">
        <v>46</v>
      </c>
      <c r="L16" s="177">
        <f>1793.7+700</f>
        <v>2493.6999999999998</v>
      </c>
      <c r="M16" s="178">
        <f t="shared" si="2"/>
        <v>54.210869565217386</v>
      </c>
      <c r="N16" s="164">
        <v>25</v>
      </c>
      <c r="O16" s="177">
        <v>1434.87</v>
      </c>
      <c r="P16" s="178">
        <f t="shared" si="3"/>
        <v>57.394799999999996</v>
      </c>
      <c r="Q16" s="164">
        <v>75</v>
      </c>
      <c r="R16" s="177">
        <v>4726.34</v>
      </c>
      <c r="S16" s="178">
        <f t="shared" si="4"/>
        <v>63.01786666666667</v>
      </c>
      <c r="T16" s="175"/>
      <c r="U16" s="176">
        <v>24</v>
      </c>
      <c r="V16" s="177">
        <v>328.08</v>
      </c>
      <c r="W16" s="177">
        <f t="shared" si="7"/>
        <v>13.67</v>
      </c>
      <c r="X16" s="176">
        <v>11</v>
      </c>
      <c r="Y16" s="177">
        <v>76.44</v>
      </c>
      <c r="Z16" s="197">
        <f t="shared" si="5"/>
        <v>6.9490909090909092</v>
      </c>
      <c r="AA16" s="175"/>
      <c r="AB16" s="176"/>
      <c r="AC16" s="176"/>
      <c r="AD16" s="176"/>
      <c r="AE16" s="176"/>
      <c r="AF16" s="179"/>
      <c r="AG16" s="198">
        <v>106</v>
      </c>
      <c r="AH16" s="104">
        <v>1124.8129999999999</v>
      </c>
      <c r="AI16" s="172">
        <f t="shared" si="8"/>
        <v>10.611443396226415</v>
      </c>
      <c r="AJ16" s="199">
        <f t="shared" si="6"/>
        <v>29923.352999999999</v>
      </c>
    </row>
    <row r="17" spans="1:36" x14ac:dyDescent="0.25">
      <c r="A17" s="163">
        <v>45942</v>
      </c>
      <c r="B17" s="175">
        <v>200</v>
      </c>
      <c r="C17" s="176">
        <v>210</v>
      </c>
      <c r="D17" s="176">
        <v>266</v>
      </c>
      <c r="E17" s="176"/>
      <c r="F17" s="165">
        <v>406</v>
      </c>
      <c r="G17" s="176"/>
      <c r="H17" s="165">
        <f t="shared" si="0"/>
        <v>392.8</v>
      </c>
      <c r="I17" s="177">
        <v>26059.476000000002</v>
      </c>
      <c r="J17" s="181">
        <f t="shared" si="1"/>
        <v>66.342861507128319</v>
      </c>
      <c r="K17" s="175">
        <v>46</v>
      </c>
      <c r="L17" s="177">
        <f>1655.305+700</f>
        <v>2355.3050000000003</v>
      </c>
      <c r="M17" s="178">
        <f t="shared" si="2"/>
        <v>51.202282608695661</v>
      </c>
      <c r="N17" s="164">
        <v>25</v>
      </c>
      <c r="O17" s="177">
        <v>1782.4799999999998</v>
      </c>
      <c r="P17" s="178">
        <f t="shared" si="3"/>
        <v>71.299199999999985</v>
      </c>
      <c r="Q17" s="164">
        <v>75</v>
      </c>
      <c r="R17" s="177">
        <v>6048.89</v>
      </c>
      <c r="S17" s="178">
        <f t="shared" si="4"/>
        <v>80.651866666666677</v>
      </c>
      <c r="T17" s="175"/>
      <c r="U17" s="176">
        <v>32</v>
      </c>
      <c r="V17" s="177">
        <v>446.88</v>
      </c>
      <c r="W17" s="177">
        <f t="shared" si="7"/>
        <v>13.965</v>
      </c>
      <c r="X17" s="176">
        <v>128</v>
      </c>
      <c r="Y17" s="177">
        <v>881</v>
      </c>
      <c r="Z17" s="197">
        <f t="shared" si="5"/>
        <v>6.8828125</v>
      </c>
      <c r="AA17" s="175"/>
      <c r="AB17" s="176"/>
      <c r="AC17" s="176"/>
      <c r="AD17" s="176"/>
      <c r="AE17" s="176"/>
      <c r="AF17" s="179"/>
      <c r="AG17" s="198">
        <v>106</v>
      </c>
      <c r="AH17" s="104">
        <v>1169.04</v>
      </c>
      <c r="AI17" s="172">
        <f t="shared" si="8"/>
        <v>11.028679245283019</v>
      </c>
      <c r="AJ17" s="199">
        <f t="shared" si="6"/>
        <v>38743.071000000004</v>
      </c>
    </row>
    <row r="18" spans="1:36" x14ac:dyDescent="0.25">
      <c r="A18" s="163">
        <v>45943</v>
      </c>
      <c r="B18" s="175">
        <v>200</v>
      </c>
      <c r="C18" s="176">
        <v>210</v>
      </c>
      <c r="D18" s="176">
        <v>227</v>
      </c>
      <c r="E18" s="176"/>
      <c r="F18" s="165">
        <v>406</v>
      </c>
      <c r="G18" s="176"/>
      <c r="H18" s="165">
        <f t="shared" si="0"/>
        <v>377.20000000000005</v>
      </c>
      <c r="I18" s="177">
        <v>27588.974999999999</v>
      </c>
      <c r="J18" s="181">
        <f t="shared" si="1"/>
        <v>73.141503181336148</v>
      </c>
      <c r="K18" s="175">
        <v>48</v>
      </c>
      <c r="L18" s="177">
        <f>1958.54+700</f>
        <v>2658.54</v>
      </c>
      <c r="M18" s="178">
        <f t="shared" si="2"/>
        <v>55.386249999999997</v>
      </c>
      <c r="N18" s="164">
        <v>25</v>
      </c>
      <c r="O18" s="177">
        <v>1376.915</v>
      </c>
      <c r="P18" s="178">
        <f t="shared" si="3"/>
        <v>55.076599999999999</v>
      </c>
      <c r="Q18" s="164">
        <v>75</v>
      </c>
      <c r="R18" s="177">
        <v>4134.82</v>
      </c>
      <c r="S18" s="178">
        <f t="shared" si="4"/>
        <v>55.130933333333331</v>
      </c>
      <c r="T18" s="175"/>
      <c r="U18" s="176">
        <v>32</v>
      </c>
      <c r="V18" s="177">
        <v>418.07999999999993</v>
      </c>
      <c r="W18" s="177">
        <f t="shared" si="7"/>
        <v>13.064999999999998</v>
      </c>
      <c r="X18" s="176">
        <v>128</v>
      </c>
      <c r="Y18" s="177">
        <v>887.65</v>
      </c>
      <c r="Z18" s="197">
        <f t="shared" si="5"/>
        <v>6.9347656249999998</v>
      </c>
      <c r="AA18" s="175"/>
      <c r="AB18" s="176"/>
      <c r="AC18" s="176"/>
      <c r="AD18" s="176"/>
      <c r="AE18" s="176"/>
      <c r="AF18" s="179"/>
      <c r="AG18" s="198">
        <v>106</v>
      </c>
      <c r="AH18" s="104">
        <v>1274.1599999999999</v>
      </c>
      <c r="AI18" s="172">
        <f t="shared" si="8"/>
        <v>12.020377358490565</v>
      </c>
      <c r="AJ18" s="199">
        <f t="shared" si="6"/>
        <v>38339.14</v>
      </c>
    </row>
    <row r="19" spans="1:36" x14ac:dyDescent="0.25">
      <c r="A19" s="163">
        <v>45944</v>
      </c>
      <c r="B19" s="175">
        <v>200</v>
      </c>
      <c r="C19" s="176">
        <v>210</v>
      </c>
      <c r="D19" s="176">
        <v>207</v>
      </c>
      <c r="E19" s="176"/>
      <c r="F19" s="165">
        <v>361</v>
      </c>
      <c r="G19" s="176">
        <v>275</v>
      </c>
      <c r="H19" s="165">
        <f>B19*0.2+SUM(C19:G19)*0.4</f>
        <v>461.20000000000005</v>
      </c>
      <c r="I19" s="177">
        <v>33045.599999999999</v>
      </c>
      <c r="J19" s="181">
        <f t="shared" si="1"/>
        <v>71.651344319167379</v>
      </c>
      <c r="K19" s="175">
        <v>48</v>
      </c>
      <c r="L19" s="177">
        <f>2200+700</f>
        <v>2900</v>
      </c>
      <c r="M19" s="178">
        <f t="shared" si="2"/>
        <v>60.416666666666664</v>
      </c>
      <c r="N19" s="164">
        <v>25</v>
      </c>
      <c r="O19" s="177">
        <v>1429.895</v>
      </c>
      <c r="P19" s="178">
        <f t="shared" si="3"/>
        <v>57.195799999999998</v>
      </c>
      <c r="Q19" s="164">
        <v>75</v>
      </c>
      <c r="R19" s="177">
        <v>4212.1080000000002</v>
      </c>
      <c r="S19" s="178">
        <f t="shared" si="4"/>
        <v>56.161439999999999</v>
      </c>
      <c r="T19" s="175"/>
      <c r="U19" s="176">
        <v>32</v>
      </c>
      <c r="V19" s="177">
        <v>444.45</v>
      </c>
      <c r="W19" s="177">
        <f t="shared" si="7"/>
        <v>13.8890625</v>
      </c>
      <c r="X19" s="176">
        <v>118</v>
      </c>
      <c r="Y19" s="177">
        <v>821.64999999999986</v>
      </c>
      <c r="Z19" s="197">
        <f t="shared" si="5"/>
        <v>6.963135593220338</v>
      </c>
      <c r="AA19" s="175"/>
      <c r="AB19" s="176"/>
      <c r="AC19" s="176"/>
      <c r="AD19" s="176"/>
      <c r="AE19" s="176"/>
      <c r="AF19" s="179"/>
      <c r="AG19" s="198">
        <v>106</v>
      </c>
      <c r="AH19" s="104">
        <v>1210</v>
      </c>
      <c r="AI19" s="172">
        <f t="shared" si="8"/>
        <v>11.415094339622641</v>
      </c>
      <c r="AJ19" s="199">
        <f t="shared" si="6"/>
        <v>44063.702999999994</v>
      </c>
    </row>
    <row r="20" spans="1:36" x14ac:dyDescent="0.25">
      <c r="A20" s="163">
        <v>45945</v>
      </c>
      <c r="B20" s="175">
        <v>200</v>
      </c>
      <c r="C20" s="176">
        <v>210</v>
      </c>
      <c r="D20" s="176">
        <v>234</v>
      </c>
      <c r="E20" s="176"/>
      <c r="F20" s="165">
        <v>361</v>
      </c>
      <c r="G20" s="176"/>
      <c r="H20" s="165">
        <f t="shared" si="0"/>
        <v>362</v>
      </c>
      <c r="I20" s="177">
        <v>33990.105000000003</v>
      </c>
      <c r="J20" s="181">
        <f t="shared" si="1"/>
        <v>93.895317679558019</v>
      </c>
      <c r="K20" s="175">
        <v>48</v>
      </c>
      <c r="L20" s="177">
        <f>1650+700</f>
        <v>2350</v>
      </c>
      <c r="M20" s="178">
        <f t="shared" si="2"/>
        <v>48.958333333333336</v>
      </c>
      <c r="N20" s="164">
        <v>25</v>
      </c>
      <c r="O20" s="177">
        <v>1541.2199999999998</v>
      </c>
      <c r="P20" s="178">
        <f t="shared" si="3"/>
        <v>61.648799999999994</v>
      </c>
      <c r="Q20" s="164">
        <v>75</v>
      </c>
      <c r="R20" s="177">
        <v>4806.7860000000001</v>
      </c>
      <c r="S20" s="178">
        <f t="shared" si="4"/>
        <v>64.090479999999999</v>
      </c>
      <c r="T20" s="175"/>
      <c r="U20" s="176">
        <v>32</v>
      </c>
      <c r="V20" s="177">
        <v>444.45</v>
      </c>
      <c r="W20" s="177">
        <f t="shared" si="7"/>
        <v>13.8890625</v>
      </c>
      <c r="X20" s="176">
        <v>118</v>
      </c>
      <c r="Y20" s="177">
        <v>739.68</v>
      </c>
      <c r="Z20" s="197">
        <f t="shared" si="5"/>
        <v>6.2684745762711858</v>
      </c>
      <c r="AA20" s="175"/>
      <c r="AB20" s="176"/>
      <c r="AC20" s="176"/>
      <c r="AD20" s="176"/>
      <c r="AE20" s="176"/>
      <c r="AF20" s="179"/>
      <c r="AG20" s="198">
        <v>106</v>
      </c>
      <c r="AH20" s="104">
        <v>1210</v>
      </c>
      <c r="AI20" s="172">
        <f t="shared" si="8"/>
        <v>11.415094339622641</v>
      </c>
      <c r="AJ20" s="199">
        <f t="shared" si="6"/>
        <v>45082.241000000002</v>
      </c>
    </row>
    <row r="21" spans="1:36" x14ac:dyDescent="0.25">
      <c r="A21" s="163">
        <v>45946</v>
      </c>
      <c r="B21" s="175">
        <v>200</v>
      </c>
      <c r="C21" s="176">
        <v>210</v>
      </c>
      <c r="D21" s="176">
        <v>205</v>
      </c>
      <c r="E21" s="176"/>
      <c r="F21" s="165">
        <v>361</v>
      </c>
      <c r="G21" s="176"/>
      <c r="H21" s="165">
        <f t="shared" si="0"/>
        <v>350.40000000000003</v>
      </c>
      <c r="I21" s="177">
        <v>27592.135000000006</v>
      </c>
      <c r="J21" s="181">
        <f t="shared" si="1"/>
        <v>78.744677511415532</v>
      </c>
      <c r="K21" s="175">
        <v>48</v>
      </c>
      <c r="L21" s="177">
        <f>1657.97+700</f>
        <v>2357.9700000000003</v>
      </c>
      <c r="M21" s="178">
        <f t="shared" si="2"/>
        <v>49.124375000000008</v>
      </c>
      <c r="N21" s="164">
        <v>25</v>
      </c>
      <c r="O21" s="177">
        <v>1829.14</v>
      </c>
      <c r="P21" s="178">
        <f t="shared" si="3"/>
        <v>73.165599999999998</v>
      </c>
      <c r="Q21" s="164">
        <v>75</v>
      </c>
      <c r="R21" s="177">
        <v>3990.5</v>
      </c>
      <c r="S21" s="178">
        <f t="shared" si="4"/>
        <v>53.206666666666663</v>
      </c>
      <c r="T21" s="175"/>
      <c r="U21" s="176">
        <v>32</v>
      </c>
      <c r="V21" s="177">
        <v>442.5</v>
      </c>
      <c r="W21" s="177">
        <f t="shared" si="7"/>
        <v>13.828125</v>
      </c>
      <c r="X21" s="176">
        <v>123</v>
      </c>
      <c r="Y21" s="177">
        <v>849.18000000000006</v>
      </c>
      <c r="Z21" s="197">
        <f t="shared" si="5"/>
        <v>6.9039024390243906</v>
      </c>
      <c r="AA21" s="175"/>
      <c r="AB21" s="176"/>
      <c r="AC21" s="176"/>
      <c r="AD21" s="176"/>
      <c r="AE21" s="176"/>
      <c r="AF21" s="179"/>
      <c r="AG21" s="198">
        <v>106</v>
      </c>
      <c r="AH21" s="104">
        <v>1143.48</v>
      </c>
      <c r="AI21" s="172">
        <f t="shared" si="8"/>
        <v>10.787547169811321</v>
      </c>
      <c r="AJ21" s="199">
        <f t="shared" si="6"/>
        <v>38204.905000000013</v>
      </c>
    </row>
    <row r="22" spans="1:36" x14ac:dyDescent="0.25">
      <c r="A22" s="163">
        <v>45947</v>
      </c>
      <c r="B22" s="175">
        <v>104</v>
      </c>
      <c r="C22" s="176">
        <v>104</v>
      </c>
      <c r="D22" s="176">
        <v>90</v>
      </c>
      <c r="E22" s="176"/>
      <c r="F22" s="165">
        <v>382</v>
      </c>
      <c r="G22" s="176"/>
      <c r="H22" s="165">
        <f>B22*0.2+SUM(C22:G22)*0.4</f>
        <v>251.20000000000002</v>
      </c>
      <c r="I22" s="177">
        <v>18785.84</v>
      </c>
      <c r="J22" s="181">
        <f t="shared" si="1"/>
        <v>74.784394904458594</v>
      </c>
      <c r="K22" s="175">
        <v>48</v>
      </c>
      <c r="L22" s="177">
        <f>1791.8+700</f>
        <v>2491.8000000000002</v>
      </c>
      <c r="M22" s="178">
        <f t="shared" si="2"/>
        <v>51.912500000000001</v>
      </c>
      <c r="N22" s="164">
        <v>25</v>
      </c>
      <c r="O22" s="177">
        <v>1590.4549999999999</v>
      </c>
      <c r="P22" s="178">
        <f t="shared" si="3"/>
        <v>63.618199999999995</v>
      </c>
      <c r="Q22" s="164">
        <v>75</v>
      </c>
      <c r="R22" s="177">
        <v>4540.25</v>
      </c>
      <c r="S22" s="178">
        <f t="shared" si="4"/>
        <v>60.536666666666669</v>
      </c>
      <c r="T22" s="175"/>
      <c r="U22" s="176">
        <v>24</v>
      </c>
      <c r="V22" s="177">
        <v>333.66</v>
      </c>
      <c r="W22" s="177">
        <f t="shared" si="7"/>
        <v>13.902500000000002</v>
      </c>
      <c r="X22" s="176">
        <v>11</v>
      </c>
      <c r="Y22" s="177">
        <v>77.91</v>
      </c>
      <c r="Z22" s="197">
        <f t="shared" si="5"/>
        <v>7.0827272727272721</v>
      </c>
      <c r="AA22" s="175"/>
      <c r="AB22" s="176"/>
      <c r="AC22" s="176"/>
      <c r="AD22" s="176"/>
      <c r="AE22" s="176"/>
      <c r="AF22" s="179"/>
      <c r="AG22" s="198">
        <v>106</v>
      </c>
      <c r="AH22" s="104">
        <v>1311.27</v>
      </c>
      <c r="AI22" s="172">
        <f t="shared" si="8"/>
        <v>12.370471698113207</v>
      </c>
      <c r="AJ22" s="199">
        <f t="shared" si="6"/>
        <v>29131.185000000001</v>
      </c>
    </row>
    <row r="23" spans="1:36" x14ac:dyDescent="0.25">
      <c r="A23" s="163">
        <v>45948</v>
      </c>
      <c r="B23" s="175">
        <v>85</v>
      </c>
      <c r="C23" s="176">
        <v>95</v>
      </c>
      <c r="D23" s="176">
        <v>85</v>
      </c>
      <c r="E23" s="176"/>
      <c r="F23" s="165">
        <v>359</v>
      </c>
      <c r="G23" s="176"/>
      <c r="H23" s="165">
        <f t="shared" si="0"/>
        <v>232.60000000000002</v>
      </c>
      <c r="I23" s="177">
        <v>19733.440000000002</v>
      </c>
      <c r="J23" s="181">
        <f t="shared" si="1"/>
        <v>84.838521066208088</v>
      </c>
      <c r="K23" s="175">
        <v>48</v>
      </c>
      <c r="L23" s="177">
        <f>1813.78+700</f>
        <v>2513.7799999999997</v>
      </c>
      <c r="M23" s="178">
        <f t="shared" si="2"/>
        <v>52.370416666666664</v>
      </c>
      <c r="N23" s="164">
        <v>25</v>
      </c>
      <c r="O23" s="177">
        <v>1584.42</v>
      </c>
      <c r="P23" s="178">
        <f t="shared" si="3"/>
        <v>63.376800000000003</v>
      </c>
      <c r="Q23" s="164">
        <v>75</v>
      </c>
      <c r="R23" s="177">
        <v>5169.92</v>
      </c>
      <c r="S23" s="178">
        <f t="shared" si="4"/>
        <v>68.932266666666663</v>
      </c>
      <c r="T23" s="175"/>
      <c r="U23" s="176">
        <v>24</v>
      </c>
      <c r="V23" s="177">
        <v>335.15999999999997</v>
      </c>
      <c r="W23" s="177">
        <f t="shared" si="7"/>
        <v>13.964999999999998</v>
      </c>
      <c r="X23" s="176">
        <v>6</v>
      </c>
      <c r="Y23" s="177">
        <v>41.16</v>
      </c>
      <c r="Z23" s="197">
        <f t="shared" si="5"/>
        <v>6.8599999999999994</v>
      </c>
      <c r="AA23" s="175"/>
      <c r="AB23" s="176"/>
      <c r="AC23" s="176"/>
      <c r="AD23" s="176"/>
      <c r="AE23" s="176"/>
      <c r="AF23" s="179"/>
      <c r="AG23" s="198">
        <v>106</v>
      </c>
      <c r="AH23" s="104">
        <v>1159.5899999999999</v>
      </c>
      <c r="AI23" s="172">
        <f t="shared" si="8"/>
        <v>10.939528301886792</v>
      </c>
      <c r="AJ23" s="199">
        <f t="shared" si="6"/>
        <v>30537.469999999998</v>
      </c>
    </row>
    <row r="24" spans="1:36" x14ac:dyDescent="0.25">
      <c r="A24" s="163">
        <v>45949</v>
      </c>
      <c r="B24" s="175">
        <v>200</v>
      </c>
      <c r="C24" s="176">
        <v>210</v>
      </c>
      <c r="D24" s="176">
        <v>217</v>
      </c>
      <c r="E24" s="176"/>
      <c r="F24" s="165">
        <v>359</v>
      </c>
      <c r="G24" s="176"/>
      <c r="H24" s="165">
        <f t="shared" si="0"/>
        <v>354.40000000000003</v>
      </c>
      <c r="I24" s="177">
        <v>27155.603999999996</v>
      </c>
      <c r="J24" s="181">
        <f t="shared" si="1"/>
        <v>76.624164785553035</v>
      </c>
      <c r="K24" s="175">
        <v>48</v>
      </c>
      <c r="L24" s="177">
        <f>2027.99+700</f>
        <v>2727.99</v>
      </c>
      <c r="M24" s="178">
        <f t="shared" si="2"/>
        <v>56.833124999999995</v>
      </c>
      <c r="N24" s="164">
        <v>25</v>
      </c>
      <c r="O24" s="177">
        <v>1759.54</v>
      </c>
      <c r="P24" s="178">
        <f t="shared" si="3"/>
        <v>70.381599999999992</v>
      </c>
      <c r="Q24" s="164">
        <v>75</v>
      </c>
      <c r="R24" s="177">
        <v>4366.8799999999992</v>
      </c>
      <c r="S24" s="178">
        <f t="shared" si="4"/>
        <v>58.225066666666656</v>
      </c>
      <c r="T24" s="175"/>
      <c r="U24" s="176">
        <v>49</v>
      </c>
      <c r="V24" s="177">
        <v>658.31999999999994</v>
      </c>
      <c r="W24" s="177">
        <f t="shared" si="7"/>
        <v>13.435102040816325</v>
      </c>
      <c r="X24" s="176">
        <v>269</v>
      </c>
      <c r="Y24" s="177">
        <v>1771.9199999999998</v>
      </c>
      <c r="Z24" s="197">
        <f t="shared" si="5"/>
        <v>6.5870631970260218</v>
      </c>
      <c r="AA24" s="175"/>
      <c r="AB24" s="176"/>
      <c r="AC24" s="176"/>
      <c r="AD24" s="176"/>
      <c r="AE24" s="176"/>
      <c r="AF24" s="179"/>
      <c r="AG24" s="198">
        <v>106</v>
      </c>
      <c r="AH24" s="104">
        <v>1172.42</v>
      </c>
      <c r="AI24" s="172">
        <f t="shared" si="8"/>
        <v>11.06056603773585</v>
      </c>
      <c r="AJ24" s="199">
        <f t="shared" si="6"/>
        <v>39612.673999999992</v>
      </c>
    </row>
    <row r="25" spans="1:36" x14ac:dyDescent="0.25">
      <c r="A25" s="163">
        <v>45950</v>
      </c>
      <c r="B25" s="175">
        <v>200</v>
      </c>
      <c r="C25" s="176">
        <v>210</v>
      </c>
      <c r="D25" s="176">
        <v>240</v>
      </c>
      <c r="E25" s="176"/>
      <c r="F25" s="165">
        <v>359</v>
      </c>
      <c r="G25" s="176"/>
      <c r="H25" s="165">
        <f t="shared" si="0"/>
        <v>363.6</v>
      </c>
      <c r="I25" s="177">
        <v>34364.380000000005</v>
      </c>
      <c r="J25" s="181">
        <f t="shared" si="1"/>
        <v>94.51149614961497</v>
      </c>
      <c r="K25" s="175">
        <v>48</v>
      </c>
      <c r="L25" s="177">
        <f>1714.97+700</f>
        <v>2414.9700000000003</v>
      </c>
      <c r="M25" s="178">
        <f t="shared" si="2"/>
        <v>50.311875000000008</v>
      </c>
      <c r="N25" s="164">
        <v>25</v>
      </c>
      <c r="O25" s="177">
        <v>1906.1399999999999</v>
      </c>
      <c r="P25" s="178">
        <f t="shared" si="3"/>
        <v>76.245599999999996</v>
      </c>
      <c r="Q25" s="164">
        <v>75</v>
      </c>
      <c r="R25" s="177">
        <v>4634.46</v>
      </c>
      <c r="S25" s="178">
        <f t="shared" si="4"/>
        <v>61.7928</v>
      </c>
      <c r="T25" s="175"/>
      <c r="U25" s="176">
        <v>55</v>
      </c>
      <c r="V25" s="177">
        <v>768.81</v>
      </c>
      <c r="W25" s="177">
        <f t="shared" si="7"/>
        <v>13.978363636363635</v>
      </c>
      <c r="X25" s="176">
        <v>128</v>
      </c>
      <c r="Y25" s="177">
        <v>884.57999999999993</v>
      </c>
      <c r="Z25" s="197">
        <f t="shared" si="5"/>
        <v>6.9107812499999994</v>
      </c>
      <c r="AA25" s="175"/>
      <c r="AB25" s="176"/>
      <c r="AC25" s="176"/>
      <c r="AD25" s="176"/>
      <c r="AE25" s="176"/>
      <c r="AF25" s="179"/>
      <c r="AG25" s="198">
        <v>106</v>
      </c>
      <c r="AH25" s="104">
        <v>1153.07</v>
      </c>
      <c r="AI25" s="172">
        <f t="shared" si="8"/>
        <v>10.878018867924528</v>
      </c>
      <c r="AJ25" s="199">
        <f t="shared" si="6"/>
        <v>46126.41</v>
      </c>
    </row>
    <row r="26" spans="1:36" x14ac:dyDescent="0.25">
      <c r="A26" s="163">
        <v>45951</v>
      </c>
      <c r="B26" s="175">
        <v>200</v>
      </c>
      <c r="C26" s="176">
        <v>210</v>
      </c>
      <c r="D26" s="176">
        <v>235</v>
      </c>
      <c r="E26" s="176"/>
      <c r="F26" s="165">
        <v>360</v>
      </c>
      <c r="G26" s="176">
        <v>60</v>
      </c>
      <c r="H26" s="165">
        <f>B26*0.2+SUM(C26:G26)*0.4</f>
        <v>386</v>
      </c>
      <c r="I26" s="177">
        <v>30233.02</v>
      </c>
      <c r="J26" s="181">
        <f t="shared" si="1"/>
        <v>78.323886010362699</v>
      </c>
      <c r="K26" s="175">
        <v>48</v>
      </c>
      <c r="L26" s="177">
        <f>2292.26+700</f>
        <v>2992.26</v>
      </c>
      <c r="M26" s="178">
        <f t="shared" si="2"/>
        <v>62.338750000000005</v>
      </c>
      <c r="N26" s="164">
        <v>25</v>
      </c>
      <c r="O26" s="177">
        <v>1906.34</v>
      </c>
      <c r="P26" s="178">
        <f t="shared" si="3"/>
        <v>76.253599999999992</v>
      </c>
      <c r="Q26" s="164">
        <v>75</v>
      </c>
      <c r="R26" s="177">
        <v>4615.2840000000006</v>
      </c>
      <c r="S26" s="178">
        <f t="shared" si="4"/>
        <v>61.537120000000009</v>
      </c>
      <c r="T26" s="175"/>
      <c r="U26" s="176">
        <v>25</v>
      </c>
      <c r="V26" s="177">
        <v>349.86</v>
      </c>
      <c r="W26" s="177">
        <f t="shared" si="7"/>
        <v>13.994400000000001</v>
      </c>
      <c r="X26" s="176">
        <v>118</v>
      </c>
      <c r="Y26" s="177">
        <v>826.2</v>
      </c>
      <c r="Z26" s="197">
        <f t="shared" si="5"/>
        <v>7.0016949152542374</v>
      </c>
      <c r="AA26" s="175"/>
      <c r="AB26" s="176"/>
      <c r="AC26" s="176"/>
      <c r="AD26" s="176"/>
      <c r="AE26" s="176"/>
      <c r="AF26" s="179"/>
      <c r="AG26" s="198">
        <v>106</v>
      </c>
      <c r="AH26" s="104">
        <v>1087.8400000000001</v>
      </c>
      <c r="AI26" s="172">
        <f t="shared" si="8"/>
        <v>10.262641509433964</v>
      </c>
      <c r="AJ26" s="199">
        <f t="shared" si="6"/>
        <v>42010.803999999989</v>
      </c>
    </row>
    <row r="27" spans="1:36" x14ac:dyDescent="0.25">
      <c r="A27" s="163">
        <v>45952</v>
      </c>
      <c r="B27" s="175">
        <v>200</v>
      </c>
      <c r="C27" s="176">
        <v>210</v>
      </c>
      <c r="D27" s="176">
        <v>220</v>
      </c>
      <c r="E27" s="176"/>
      <c r="F27" s="165">
        <v>360</v>
      </c>
      <c r="G27" s="176"/>
      <c r="H27" s="165">
        <f t="shared" si="0"/>
        <v>356</v>
      </c>
      <c r="I27" s="177">
        <v>30065.226999999999</v>
      </c>
      <c r="J27" s="181">
        <f t="shared" si="1"/>
        <v>84.452884831460665</v>
      </c>
      <c r="K27" s="175">
        <v>48</v>
      </c>
      <c r="L27" s="177">
        <f>1778.29+700</f>
        <v>2478.29</v>
      </c>
      <c r="M27" s="178">
        <f t="shared" si="2"/>
        <v>51.631041666666668</v>
      </c>
      <c r="N27" s="164">
        <v>25</v>
      </c>
      <c r="O27" s="177">
        <v>1944.4549999999999</v>
      </c>
      <c r="P27" s="178">
        <f t="shared" si="3"/>
        <v>77.778199999999998</v>
      </c>
      <c r="Q27" s="164">
        <v>75</v>
      </c>
      <c r="R27" s="177">
        <v>4140</v>
      </c>
      <c r="S27" s="178">
        <f t="shared" si="4"/>
        <v>55.2</v>
      </c>
      <c r="T27" s="175"/>
      <c r="U27" s="176">
        <v>25</v>
      </c>
      <c r="V27" s="177">
        <v>351.33</v>
      </c>
      <c r="W27" s="177">
        <f t="shared" si="7"/>
        <v>14.053199999999999</v>
      </c>
      <c r="X27" s="176">
        <v>128</v>
      </c>
      <c r="Y27" s="177">
        <v>897.57999999999993</v>
      </c>
      <c r="Z27" s="197">
        <f t="shared" si="5"/>
        <v>7.0123437499999994</v>
      </c>
      <c r="AA27" s="175"/>
      <c r="AB27" s="176"/>
      <c r="AC27" s="176"/>
      <c r="AD27" s="176"/>
      <c r="AE27" s="176"/>
      <c r="AF27" s="179"/>
      <c r="AG27" s="198">
        <v>106</v>
      </c>
      <c r="AH27" s="104">
        <v>1209.17</v>
      </c>
      <c r="AI27" s="172">
        <f t="shared" si="8"/>
        <v>11.407264150943396</v>
      </c>
      <c r="AJ27" s="199">
        <f t="shared" si="6"/>
        <v>41086.052000000003</v>
      </c>
    </row>
    <row r="28" spans="1:36" x14ac:dyDescent="0.25">
      <c r="A28" s="163">
        <v>45953</v>
      </c>
      <c r="B28" s="175">
        <v>200</v>
      </c>
      <c r="C28" s="176">
        <v>210</v>
      </c>
      <c r="D28" s="176">
        <v>205</v>
      </c>
      <c r="E28" s="176"/>
      <c r="F28" s="165">
        <v>360</v>
      </c>
      <c r="G28" s="176"/>
      <c r="H28" s="165">
        <f t="shared" si="0"/>
        <v>350</v>
      </c>
      <c r="I28" s="177">
        <v>29707.784999999996</v>
      </c>
      <c r="J28" s="181">
        <f t="shared" si="1"/>
        <v>84.879385714285704</v>
      </c>
      <c r="K28" s="175">
        <v>48</v>
      </c>
      <c r="L28" s="177">
        <f>1566.87+700</f>
        <v>2266.87</v>
      </c>
      <c r="M28" s="178">
        <f t="shared" si="2"/>
        <v>47.226458333333333</v>
      </c>
      <c r="N28" s="164">
        <v>25</v>
      </c>
      <c r="O28" s="177">
        <v>1543.48</v>
      </c>
      <c r="P28" s="178">
        <f t="shared" si="3"/>
        <v>61.739200000000004</v>
      </c>
      <c r="Q28" s="164">
        <v>75</v>
      </c>
      <c r="R28" s="177">
        <v>4360.0460000000003</v>
      </c>
      <c r="S28" s="178">
        <f t="shared" si="4"/>
        <v>58.133946666666674</v>
      </c>
      <c r="T28" s="175"/>
      <c r="U28" s="176">
        <v>25</v>
      </c>
      <c r="V28" s="177">
        <v>346.14</v>
      </c>
      <c r="W28" s="177">
        <f t="shared" si="7"/>
        <v>13.845599999999999</v>
      </c>
      <c r="X28" s="176">
        <v>128</v>
      </c>
      <c r="Y28" s="177">
        <v>895.19999999999993</v>
      </c>
      <c r="Z28" s="197">
        <f t="shared" si="5"/>
        <v>6.9937499999999995</v>
      </c>
      <c r="AA28" s="175"/>
      <c r="AB28" s="176"/>
      <c r="AC28" s="176"/>
      <c r="AD28" s="176"/>
      <c r="AE28" s="176"/>
      <c r="AF28" s="179"/>
      <c r="AG28" s="198">
        <v>106</v>
      </c>
      <c r="AH28" s="104">
        <v>1306.1999999999998</v>
      </c>
      <c r="AI28" s="172">
        <f t="shared" si="8"/>
        <v>12.322641509433961</v>
      </c>
      <c r="AJ28" s="199">
        <f t="shared" si="6"/>
        <v>40425.72099999999</v>
      </c>
    </row>
    <row r="29" spans="1:36" x14ac:dyDescent="0.25">
      <c r="A29" s="163">
        <v>45954</v>
      </c>
      <c r="B29" s="175">
        <v>85</v>
      </c>
      <c r="C29" s="176">
        <v>95</v>
      </c>
      <c r="D29" s="176">
        <v>85</v>
      </c>
      <c r="E29" s="176"/>
      <c r="F29" s="165">
        <v>324</v>
      </c>
      <c r="G29" s="176"/>
      <c r="H29" s="165">
        <f t="shared" si="0"/>
        <v>218.60000000000002</v>
      </c>
      <c r="I29" s="177">
        <v>19234.8</v>
      </c>
      <c r="J29" s="181">
        <f t="shared" si="1"/>
        <v>87.990850869167417</v>
      </c>
      <c r="K29" s="175">
        <v>47</v>
      </c>
      <c r="L29" s="177">
        <f>1539.28+700</f>
        <v>2239.2799999999997</v>
      </c>
      <c r="M29" s="178">
        <f t="shared" si="2"/>
        <v>47.644255319148932</v>
      </c>
      <c r="N29" s="164">
        <v>25</v>
      </c>
      <c r="O29" s="177">
        <v>1583.94</v>
      </c>
      <c r="P29" s="178">
        <f t="shared" si="3"/>
        <v>63.357600000000005</v>
      </c>
      <c r="Q29" s="164">
        <v>75</v>
      </c>
      <c r="R29" s="177">
        <v>4622.6359999999995</v>
      </c>
      <c r="S29" s="178">
        <f t="shared" si="4"/>
        <v>61.635146666666657</v>
      </c>
      <c r="T29" s="175"/>
      <c r="U29" s="176">
        <v>17</v>
      </c>
      <c r="V29" s="177">
        <v>240.11</v>
      </c>
      <c r="W29" s="177">
        <f t="shared" si="7"/>
        <v>14.124117647058824</v>
      </c>
      <c r="X29" s="176">
        <v>4</v>
      </c>
      <c r="Y29" s="177">
        <v>27.37</v>
      </c>
      <c r="Z29" s="197">
        <f t="shared" si="5"/>
        <v>6.8425000000000002</v>
      </c>
      <c r="AA29" s="175"/>
      <c r="AB29" s="176"/>
      <c r="AC29" s="176"/>
      <c r="AD29" s="176"/>
      <c r="AE29" s="176"/>
      <c r="AF29" s="179"/>
      <c r="AG29" s="198">
        <v>106</v>
      </c>
      <c r="AH29" s="104">
        <v>1103.3300000000002</v>
      </c>
      <c r="AI29" s="172">
        <f t="shared" si="8"/>
        <v>10.408773584905662</v>
      </c>
      <c r="AJ29" s="199">
        <f t="shared" si="6"/>
        <v>29051.465999999997</v>
      </c>
    </row>
    <row r="30" spans="1:36" x14ac:dyDescent="0.25">
      <c r="A30" s="163">
        <v>45955</v>
      </c>
      <c r="B30" s="175">
        <v>85</v>
      </c>
      <c r="C30" s="176">
        <v>95</v>
      </c>
      <c r="D30" s="176">
        <v>85</v>
      </c>
      <c r="E30" s="176"/>
      <c r="F30" s="165">
        <v>324</v>
      </c>
      <c r="G30" s="176"/>
      <c r="H30" s="165">
        <f t="shared" si="0"/>
        <v>218.60000000000002</v>
      </c>
      <c r="I30" s="177">
        <v>20583.27</v>
      </c>
      <c r="J30" s="181">
        <f t="shared" si="1"/>
        <v>94.15951509606586</v>
      </c>
      <c r="K30" s="175">
        <v>47</v>
      </c>
      <c r="L30" s="177">
        <f>2251.53+700</f>
        <v>2951.53</v>
      </c>
      <c r="M30" s="178">
        <f t="shared" si="2"/>
        <v>62.798510638297877</v>
      </c>
      <c r="N30" s="164">
        <v>25</v>
      </c>
      <c r="O30" s="177">
        <v>1944.4549999999999</v>
      </c>
      <c r="P30" s="178">
        <f t="shared" si="3"/>
        <v>77.778199999999998</v>
      </c>
      <c r="Q30" s="164">
        <v>75</v>
      </c>
      <c r="R30" s="177">
        <v>4517.74</v>
      </c>
      <c r="S30" s="178">
        <f t="shared" si="4"/>
        <v>60.236533333333334</v>
      </c>
      <c r="T30" s="175"/>
      <c r="U30" s="176">
        <v>17</v>
      </c>
      <c r="V30" s="177">
        <v>238.51000000000002</v>
      </c>
      <c r="W30" s="177">
        <f t="shared" si="7"/>
        <v>14.030000000000001</v>
      </c>
      <c r="X30" s="176">
        <v>4</v>
      </c>
      <c r="Y30" s="177">
        <v>30.240000000000002</v>
      </c>
      <c r="Z30" s="197">
        <f t="shared" si="5"/>
        <v>7.5600000000000005</v>
      </c>
      <c r="AA30" s="175"/>
      <c r="AB30" s="176"/>
      <c r="AC30" s="176"/>
      <c r="AD30" s="176"/>
      <c r="AE30" s="176"/>
      <c r="AF30" s="179"/>
      <c r="AG30" s="198">
        <v>106</v>
      </c>
      <c r="AH30" s="104">
        <v>1209.78</v>
      </c>
      <c r="AI30" s="172">
        <f t="shared" si="8"/>
        <v>11.413018867924528</v>
      </c>
      <c r="AJ30" s="199">
        <f t="shared" si="6"/>
        <v>31475.524999999994</v>
      </c>
    </row>
    <row r="31" spans="1:36" x14ac:dyDescent="0.25">
      <c r="A31" s="163">
        <v>45956</v>
      </c>
      <c r="B31" s="175">
        <v>200</v>
      </c>
      <c r="C31" s="176">
        <v>210</v>
      </c>
      <c r="D31" s="176">
        <v>289</v>
      </c>
      <c r="E31" s="176"/>
      <c r="F31" s="165">
        <v>351</v>
      </c>
      <c r="G31" s="176"/>
      <c r="H31" s="165">
        <f t="shared" si="0"/>
        <v>380</v>
      </c>
      <c r="I31" s="177">
        <v>31641.580000000005</v>
      </c>
      <c r="J31" s="181">
        <f t="shared" si="1"/>
        <v>83.267315789473699</v>
      </c>
      <c r="K31" s="175">
        <v>47</v>
      </c>
      <c r="L31" s="177">
        <f>1990.064+700</f>
        <v>2690.0640000000003</v>
      </c>
      <c r="M31" s="178">
        <f t="shared" si="2"/>
        <v>57.235404255319153</v>
      </c>
      <c r="N31" s="164">
        <v>25</v>
      </c>
      <c r="O31" s="177">
        <v>1827.78</v>
      </c>
      <c r="P31" s="178">
        <f t="shared" si="3"/>
        <v>73.111199999999997</v>
      </c>
      <c r="Q31" s="164">
        <v>75</v>
      </c>
      <c r="R31" s="177">
        <v>4233.24</v>
      </c>
      <c r="S31" s="178">
        <f t="shared" si="4"/>
        <v>56.443199999999997</v>
      </c>
      <c r="T31" s="175"/>
      <c r="U31" s="176">
        <v>25</v>
      </c>
      <c r="V31" s="176">
        <v>350.56</v>
      </c>
      <c r="W31" s="177">
        <f t="shared" si="7"/>
        <v>14.022399999999999</v>
      </c>
      <c r="X31" s="176">
        <v>276</v>
      </c>
      <c r="Y31" s="177">
        <v>1930.1599999999999</v>
      </c>
      <c r="Z31" s="197">
        <f t="shared" si="5"/>
        <v>6.9933333333333332</v>
      </c>
      <c r="AA31" s="175"/>
      <c r="AB31" s="176"/>
      <c r="AC31" s="176"/>
      <c r="AD31" s="176"/>
      <c r="AE31" s="176"/>
      <c r="AF31" s="179"/>
      <c r="AG31" s="198">
        <v>106</v>
      </c>
      <c r="AH31" s="104">
        <v>1218.1199999999999</v>
      </c>
      <c r="AI31" s="172">
        <f t="shared" si="8"/>
        <v>11.491698113207546</v>
      </c>
      <c r="AJ31" s="199">
        <f t="shared" si="6"/>
        <v>43891.504000000008</v>
      </c>
    </row>
    <row r="32" spans="1:36" x14ac:dyDescent="0.25">
      <c r="A32" s="163">
        <v>45957</v>
      </c>
      <c r="B32" s="175">
        <v>200</v>
      </c>
      <c r="C32" s="176">
        <v>210</v>
      </c>
      <c r="D32" s="176">
        <v>235</v>
      </c>
      <c r="E32" s="176"/>
      <c r="F32" s="165">
        <v>318</v>
      </c>
      <c r="G32" s="176"/>
      <c r="H32" s="165">
        <f t="shared" si="0"/>
        <v>345.2</v>
      </c>
      <c r="I32" s="177">
        <v>29238.979500000005</v>
      </c>
      <c r="J32" s="181">
        <f t="shared" si="1"/>
        <v>84.701562862108943</v>
      </c>
      <c r="K32" s="175">
        <v>47</v>
      </c>
      <c r="L32" s="177">
        <f>1951.3+700</f>
        <v>2651.3</v>
      </c>
      <c r="M32" s="178">
        <f t="shared" si="2"/>
        <v>56.410638297872346</v>
      </c>
      <c r="N32" s="164">
        <v>25</v>
      </c>
      <c r="O32" s="177">
        <v>1943.165</v>
      </c>
      <c r="P32" s="178">
        <f t="shared" si="3"/>
        <v>77.726600000000005</v>
      </c>
      <c r="Q32" s="164">
        <v>75</v>
      </c>
      <c r="R32" s="177">
        <v>4633.21</v>
      </c>
      <c r="S32" s="178">
        <f t="shared" si="4"/>
        <v>61.776133333333334</v>
      </c>
      <c r="T32" s="175"/>
      <c r="U32" s="176">
        <v>25</v>
      </c>
      <c r="V32" s="177">
        <v>353.76</v>
      </c>
      <c r="W32" s="177">
        <f t="shared" si="7"/>
        <v>14.150399999999999</v>
      </c>
      <c r="X32" s="176">
        <v>128</v>
      </c>
      <c r="Y32" s="177">
        <v>894.04799999999989</v>
      </c>
      <c r="Z32" s="197">
        <f t="shared" si="5"/>
        <v>6.9847499999999991</v>
      </c>
      <c r="AA32" s="175"/>
      <c r="AB32" s="176"/>
      <c r="AC32" s="176"/>
      <c r="AD32" s="176"/>
      <c r="AE32" s="176"/>
      <c r="AF32" s="179"/>
      <c r="AG32" s="198">
        <v>106</v>
      </c>
      <c r="AH32" s="104">
        <v>1330.92</v>
      </c>
      <c r="AI32" s="172">
        <f t="shared" si="8"/>
        <v>12.555849056603774</v>
      </c>
      <c r="AJ32" s="199">
        <f t="shared" si="6"/>
        <v>41045.382500000007</v>
      </c>
    </row>
    <row r="33" spans="1:36" x14ac:dyDescent="0.25">
      <c r="A33" s="163">
        <v>45958</v>
      </c>
      <c r="B33" s="175">
        <v>200</v>
      </c>
      <c r="C33" s="176">
        <v>210</v>
      </c>
      <c r="D33" s="176">
        <v>233</v>
      </c>
      <c r="E33" s="176"/>
      <c r="F33" s="165">
        <v>332</v>
      </c>
      <c r="G33" s="185"/>
      <c r="H33" s="165">
        <f>B33*0.2+SUM(C33:F33)*0.4</f>
        <v>350</v>
      </c>
      <c r="I33" s="187">
        <v>31579.543999999998</v>
      </c>
      <c r="J33" s="181">
        <f t="shared" si="1"/>
        <v>90.227268571428567</v>
      </c>
      <c r="K33" s="175">
        <v>47</v>
      </c>
      <c r="L33" s="177">
        <f>1878.48+700</f>
        <v>2578.48</v>
      </c>
      <c r="M33" s="178">
        <f t="shared" si="2"/>
        <v>54.861276595744684</v>
      </c>
      <c r="N33" s="164">
        <v>25</v>
      </c>
      <c r="O33" s="187">
        <v>1540.4749999999999</v>
      </c>
      <c r="P33" s="178">
        <f t="shared" si="3"/>
        <v>61.619</v>
      </c>
      <c r="Q33" s="164">
        <v>75</v>
      </c>
      <c r="R33" s="187">
        <v>4194.0300000000007</v>
      </c>
      <c r="S33" s="178">
        <f t="shared" si="4"/>
        <v>55.920400000000008</v>
      </c>
      <c r="T33" s="184"/>
      <c r="U33" s="185">
        <v>24</v>
      </c>
      <c r="V33" s="187">
        <v>335.15999999999997</v>
      </c>
      <c r="W33" s="177">
        <f t="shared" si="7"/>
        <v>13.964999999999998</v>
      </c>
      <c r="X33" s="176">
        <v>118</v>
      </c>
      <c r="Y33" s="187">
        <v>847.8</v>
      </c>
      <c r="Z33" s="197">
        <f t="shared" si="5"/>
        <v>7.1847457627118638</v>
      </c>
      <c r="AA33" s="184"/>
      <c r="AB33" s="185"/>
      <c r="AC33" s="185"/>
      <c r="AD33" s="185"/>
      <c r="AE33" s="185"/>
      <c r="AF33" s="188"/>
      <c r="AG33" s="198">
        <v>106</v>
      </c>
      <c r="AH33" s="190">
        <v>1180.1500000000001</v>
      </c>
      <c r="AI33" s="172">
        <f t="shared" si="8"/>
        <v>11.133490566037736</v>
      </c>
      <c r="AJ33" s="199">
        <f t="shared" si="6"/>
        <v>42255.639000000003</v>
      </c>
    </row>
    <row r="34" spans="1:36" x14ac:dyDescent="0.25">
      <c r="A34" s="163">
        <v>45959</v>
      </c>
      <c r="B34" s="175">
        <v>200</v>
      </c>
      <c r="C34" s="176">
        <v>210</v>
      </c>
      <c r="D34" s="185">
        <v>237</v>
      </c>
      <c r="E34" s="176"/>
      <c r="F34" s="165">
        <v>327</v>
      </c>
      <c r="G34" s="185"/>
      <c r="H34" s="165">
        <f>B34*0.2+SUM(C34:F34)*0.4</f>
        <v>349.6</v>
      </c>
      <c r="I34" s="187">
        <v>32664.795000000002</v>
      </c>
      <c r="J34" s="181">
        <f t="shared" si="1"/>
        <v>93.434768306636158</v>
      </c>
      <c r="K34" s="175">
        <v>47</v>
      </c>
      <c r="L34" s="187">
        <f>1792.26+700</f>
        <v>2492.2600000000002</v>
      </c>
      <c r="M34" s="178">
        <f t="shared" si="2"/>
        <v>53.026808510638304</v>
      </c>
      <c r="N34" s="164">
        <v>25</v>
      </c>
      <c r="O34" s="187">
        <v>1620.0119999999999</v>
      </c>
      <c r="P34" s="178">
        <f t="shared" si="3"/>
        <v>64.800479999999993</v>
      </c>
      <c r="Q34" s="164">
        <v>75</v>
      </c>
      <c r="R34" s="187">
        <v>4095.0810000000001</v>
      </c>
      <c r="S34" s="178">
        <f t="shared" si="4"/>
        <v>54.601080000000003</v>
      </c>
      <c r="T34" s="184"/>
      <c r="U34" s="185">
        <v>24</v>
      </c>
      <c r="V34" s="187">
        <v>334.03000000000003</v>
      </c>
      <c r="W34" s="177">
        <f t="shared" si="7"/>
        <v>13.917916666666668</v>
      </c>
      <c r="X34" s="176">
        <v>123</v>
      </c>
      <c r="Y34" s="187">
        <v>860.74</v>
      </c>
      <c r="Z34" s="197">
        <f t="shared" si="5"/>
        <v>6.9978861788617888</v>
      </c>
      <c r="AA34" s="184"/>
      <c r="AB34" s="185"/>
      <c r="AC34" s="185"/>
      <c r="AD34" s="185"/>
      <c r="AE34" s="185"/>
      <c r="AF34" s="188"/>
      <c r="AG34" s="198">
        <v>106</v>
      </c>
      <c r="AH34" s="190">
        <v>1104.175</v>
      </c>
      <c r="AI34" s="172">
        <f t="shared" si="8"/>
        <v>10.416745283018868</v>
      </c>
      <c r="AJ34" s="199">
        <f t="shared" si="6"/>
        <v>43171.093000000001</v>
      </c>
    </row>
    <row r="35" spans="1:36" x14ac:dyDescent="0.25">
      <c r="A35" s="163">
        <v>45960</v>
      </c>
      <c r="B35" s="175">
        <v>200</v>
      </c>
      <c r="C35" s="176">
        <v>210</v>
      </c>
      <c r="D35" s="185">
        <v>205</v>
      </c>
      <c r="E35" s="176"/>
      <c r="F35" s="165">
        <v>335</v>
      </c>
      <c r="G35" s="185"/>
      <c r="H35" s="165">
        <f>B35*0.2+SUM(C35:F35)*0.4</f>
        <v>340</v>
      </c>
      <c r="I35" s="187">
        <v>30395.390000000003</v>
      </c>
      <c r="J35" s="181">
        <f t="shared" si="1"/>
        <v>89.398205882352954</v>
      </c>
      <c r="K35" s="175">
        <v>42</v>
      </c>
      <c r="L35" s="187">
        <f>1410.36+700</f>
        <v>2110.3599999999997</v>
      </c>
      <c r="M35" s="178">
        <f t="shared" si="2"/>
        <v>50.246666666666655</v>
      </c>
      <c r="N35" s="164">
        <v>25</v>
      </c>
      <c r="O35" s="187">
        <v>1788.9199999999998</v>
      </c>
      <c r="P35" s="178">
        <f t="shared" si="3"/>
        <v>71.556799999999996</v>
      </c>
      <c r="Q35" s="164">
        <v>75</v>
      </c>
      <c r="R35" s="187">
        <v>4493.6383500000002</v>
      </c>
      <c r="S35" s="178">
        <f t="shared" si="4"/>
        <v>59.915178000000004</v>
      </c>
      <c r="T35" s="184"/>
      <c r="U35" s="185">
        <v>14</v>
      </c>
      <c r="V35" s="187">
        <v>195.51</v>
      </c>
      <c r="W35" s="177">
        <f t="shared" si="7"/>
        <v>13.965</v>
      </c>
      <c r="X35" s="176">
        <v>128</v>
      </c>
      <c r="Y35" s="187">
        <v>892.29</v>
      </c>
      <c r="Z35" s="197">
        <f t="shared" si="5"/>
        <v>6.9710156249999997</v>
      </c>
      <c r="AA35" s="184"/>
      <c r="AB35" s="185"/>
      <c r="AC35" s="185"/>
      <c r="AD35" s="185"/>
      <c r="AE35" s="185"/>
      <c r="AF35" s="188"/>
      <c r="AG35" s="198">
        <v>106</v>
      </c>
      <c r="AH35" s="190">
        <v>1197.92</v>
      </c>
      <c r="AI35" s="172">
        <f t="shared" si="8"/>
        <v>11.301132075471699</v>
      </c>
      <c r="AJ35" s="199">
        <f t="shared" si="6"/>
        <v>41074.028350000008</v>
      </c>
    </row>
    <row r="36" spans="1:36" ht="15.75" thickBot="1" x14ac:dyDescent="0.3">
      <c r="A36" s="163">
        <v>45961</v>
      </c>
      <c r="B36" s="175">
        <v>85</v>
      </c>
      <c r="C36" s="176">
        <v>95</v>
      </c>
      <c r="D36" s="185">
        <v>85</v>
      </c>
      <c r="E36" s="176"/>
      <c r="F36" s="165">
        <v>311</v>
      </c>
      <c r="G36" s="185"/>
      <c r="H36" s="165">
        <f>B36*0.2+SUM(C36:F36)*0.4</f>
        <v>213.4</v>
      </c>
      <c r="I36" s="187">
        <v>23994.144999999993</v>
      </c>
      <c r="J36" s="181">
        <f t="shared" si="1"/>
        <v>112.43741799437672</v>
      </c>
      <c r="K36" s="175">
        <v>41</v>
      </c>
      <c r="L36" s="187">
        <f>2587.2+700</f>
        <v>3287.2</v>
      </c>
      <c r="M36" s="178">
        <f t="shared" si="2"/>
        <v>80.175609756097558</v>
      </c>
      <c r="N36" s="164">
        <v>25</v>
      </c>
      <c r="O36" s="187">
        <v>1961.0749999999998</v>
      </c>
      <c r="P36" s="178">
        <f t="shared" si="3"/>
        <v>78.442999999999998</v>
      </c>
      <c r="Q36" s="164">
        <v>75</v>
      </c>
      <c r="R36" s="187">
        <v>4977.3999999999996</v>
      </c>
      <c r="S36" s="178">
        <f t="shared" si="4"/>
        <v>66.365333333333325</v>
      </c>
      <c r="T36" s="184"/>
      <c r="U36" s="185">
        <v>7</v>
      </c>
      <c r="V36" s="187">
        <v>97.2</v>
      </c>
      <c r="W36" s="177">
        <f t="shared" si="7"/>
        <v>13.885714285714286</v>
      </c>
      <c r="X36" s="176">
        <v>6</v>
      </c>
      <c r="Y36" s="187">
        <v>41.16</v>
      </c>
      <c r="Z36" s="197">
        <f t="shared" si="5"/>
        <v>6.8599999999999994</v>
      </c>
      <c r="AA36" s="184"/>
      <c r="AB36" s="185"/>
      <c r="AC36" s="185"/>
      <c r="AD36" s="185"/>
      <c r="AE36" s="185"/>
      <c r="AF36" s="188"/>
      <c r="AG36" s="198">
        <v>106</v>
      </c>
      <c r="AH36" s="190">
        <v>1017.1899999999999</v>
      </c>
      <c r="AI36" s="172">
        <f t="shared" si="8"/>
        <v>9.5961320754716972</v>
      </c>
      <c r="AJ36" s="199">
        <f t="shared" si="6"/>
        <v>35375.369999999995</v>
      </c>
    </row>
    <row r="37" spans="1:36" ht="26.25" thickBot="1" x14ac:dyDescent="0.3">
      <c r="A37" s="202" t="s">
        <v>77</v>
      </c>
      <c r="B37" s="195">
        <f t="shared" ref="B37:I37" si="9">SUM(B6:B36)</f>
        <v>5184</v>
      </c>
      <c r="C37" s="195">
        <f t="shared" si="9"/>
        <v>5484</v>
      </c>
      <c r="D37" s="195">
        <f t="shared" si="9"/>
        <v>5769</v>
      </c>
      <c r="E37" s="195">
        <f t="shared" si="9"/>
        <v>0</v>
      </c>
      <c r="F37" s="195">
        <f t="shared" si="9"/>
        <v>11446</v>
      </c>
      <c r="G37" s="195">
        <f t="shared" si="9"/>
        <v>335</v>
      </c>
      <c r="H37" s="195">
        <f t="shared" si="9"/>
        <v>10250.400000000001</v>
      </c>
      <c r="I37" s="195">
        <f t="shared" si="9"/>
        <v>815318.26350000012</v>
      </c>
      <c r="J37" s="195">
        <f>I37/H37</f>
        <v>79.540141214001409</v>
      </c>
      <c r="K37" s="195">
        <f>SUM(K6:K36)</f>
        <v>1450</v>
      </c>
      <c r="L37" s="195">
        <f>SUM(L6:L36)</f>
        <v>79425.394</v>
      </c>
      <c r="M37" s="195">
        <f>L37/K37</f>
        <v>54.776133793103448</v>
      </c>
      <c r="N37" s="195">
        <f>SUM(N6:N36)</f>
        <v>775</v>
      </c>
      <c r="O37" s="195">
        <f>SUM(O6:O36)</f>
        <v>50915.137000000002</v>
      </c>
      <c r="P37" s="195">
        <f>O37/N37</f>
        <v>65.696950967741941</v>
      </c>
      <c r="Q37" s="195">
        <f>SUM(Q6:Q36)</f>
        <v>2325</v>
      </c>
      <c r="R37" s="195">
        <f>SUM(R6:R36)</f>
        <v>143779.63935000001</v>
      </c>
      <c r="S37" s="195">
        <f>R37/Q37</f>
        <v>61.840705096774201</v>
      </c>
      <c r="T37" s="195">
        <f>SUM(T6:T36)</f>
        <v>0</v>
      </c>
      <c r="U37" s="195">
        <f>SUM(U6:U36)</f>
        <v>888</v>
      </c>
      <c r="V37" s="195">
        <f>SUM(V6:V36)</f>
        <v>12155.54</v>
      </c>
      <c r="W37" s="195"/>
      <c r="X37" s="195">
        <f t="shared" ref="X37:AH37" si="10">SUM(X6:X36)</f>
        <v>3252</v>
      </c>
      <c r="Y37" s="195">
        <f t="shared" si="10"/>
        <v>22144.328000000001</v>
      </c>
      <c r="Z37" s="195">
        <f t="shared" si="10"/>
        <v>214.19094268387732</v>
      </c>
      <c r="AA37" s="195">
        <f t="shared" si="10"/>
        <v>0</v>
      </c>
      <c r="AB37" s="195">
        <f t="shared" si="10"/>
        <v>0</v>
      </c>
      <c r="AC37" s="195">
        <f t="shared" si="10"/>
        <v>0</v>
      </c>
      <c r="AD37" s="195">
        <f t="shared" si="10"/>
        <v>0</v>
      </c>
      <c r="AE37" s="195">
        <f t="shared" si="10"/>
        <v>0</v>
      </c>
      <c r="AF37" s="195" t="e">
        <f t="shared" si="10"/>
        <v>#DIV/0!</v>
      </c>
      <c r="AG37" s="195">
        <f t="shared" si="10"/>
        <v>3286</v>
      </c>
      <c r="AH37" s="195">
        <f t="shared" si="10"/>
        <v>36879.048000000003</v>
      </c>
      <c r="AI37" s="195">
        <f>AH37/AG37</f>
        <v>11.223082166768108</v>
      </c>
      <c r="AJ37" s="203">
        <f>SUM(AJ6:AJ36)</f>
        <v>1160617.3498500003</v>
      </c>
    </row>
  </sheetData>
  <sheetProtection algorithmName="SHA-512" hashValue="zB6yK1LDU26RNydK/doefKX2HFdGVGBeW15y8hD6icQilnbyB0qIHbgCDpvVNaBEDuVVYLNn78zu6IvlIz5Aeg==" saltValue="feO3R190lL4V4XvwZc6R7g==" spinCount="100000" sheet="1" scenarios="1" sort="0" autoFilter="0"/>
  <mergeCells count="10">
    <mergeCell ref="A1:AJ1"/>
    <mergeCell ref="A2:AJ2"/>
    <mergeCell ref="A3:AJ3"/>
    <mergeCell ref="B4:J4"/>
    <mergeCell ref="K4:M4"/>
    <mergeCell ref="N4:P4"/>
    <mergeCell ref="Q4:S4"/>
    <mergeCell ref="T4:Z4"/>
    <mergeCell ref="AA4:AF4"/>
    <mergeCell ref="AG4:AI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3EED-B7B6-42B6-826D-036174FA3B7F}">
  <dimension ref="A1:AD37"/>
  <sheetViews>
    <sheetView zoomScale="80" zoomScaleNormal="80" workbookViewId="0">
      <selection activeCell="G39" sqref="G39"/>
    </sheetView>
  </sheetViews>
  <sheetFormatPr defaultRowHeight="15" x14ac:dyDescent="0.25"/>
  <cols>
    <col min="2" max="4" width="10.140625" bestFit="1" customWidth="1"/>
    <col min="6" max="6" width="11.28515625" bestFit="1" customWidth="1"/>
    <col min="7" max="7" width="9.42578125" bestFit="1" customWidth="1"/>
    <col min="8" max="8" width="10.140625" bestFit="1" customWidth="1"/>
    <col min="9" max="9" width="12.28515625" bestFit="1" customWidth="1"/>
    <col min="10" max="10" width="13" bestFit="1" customWidth="1"/>
    <col min="11" max="11" width="10.140625" bestFit="1" customWidth="1"/>
    <col min="12" max="12" width="11.28515625" bestFit="1" customWidth="1"/>
    <col min="16" max="16" width="11.28515625" bestFit="1" customWidth="1"/>
    <col min="18" max="18" width="10.140625" bestFit="1" customWidth="1"/>
    <col min="19" max="19" width="11.28515625" bestFit="1" customWidth="1"/>
    <col min="27" max="27" width="14.85546875" bestFit="1" customWidth="1"/>
    <col min="28" max="28" width="11.28515625" bestFit="1" customWidth="1"/>
    <col min="30" max="30" width="13.85546875" bestFit="1" customWidth="1"/>
  </cols>
  <sheetData>
    <row r="1" spans="1:30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10"/>
    </row>
    <row r="2" spans="1:30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10"/>
    </row>
    <row r="3" spans="1:30" ht="21.75" thickBot="1" x14ac:dyDescent="0.4">
      <c r="A3" s="308" t="s">
        <v>87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10"/>
    </row>
    <row r="4" spans="1:30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8"/>
      <c r="N4" s="314" t="s">
        <v>65</v>
      </c>
      <c r="O4" s="315"/>
      <c r="P4" s="315"/>
      <c r="Q4" s="315"/>
      <c r="R4" s="315"/>
      <c r="S4" s="315"/>
      <c r="T4" s="318"/>
      <c r="U4" s="378" t="s">
        <v>66</v>
      </c>
      <c r="V4" s="379"/>
      <c r="W4" s="379"/>
      <c r="X4" s="379"/>
      <c r="Y4" s="379"/>
      <c r="Z4" s="380"/>
      <c r="AA4" s="320" t="s">
        <v>67</v>
      </c>
      <c r="AB4" s="321"/>
      <c r="AC4" s="322"/>
      <c r="AD4" s="144" t="s">
        <v>68</v>
      </c>
    </row>
    <row r="5" spans="1:30" ht="39.75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9" t="s">
        <v>0</v>
      </c>
      <c r="M5" s="150" t="s">
        <v>70</v>
      </c>
      <c r="N5" s="151" t="s">
        <v>71</v>
      </c>
      <c r="O5" s="152" t="s">
        <v>72</v>
      </c>
      <c r="P5" s="152" t="s">
        <v>73</v>
      </c>
      <c r="Q5" s="152" t="s">
        <v>79</v>
      </c>
      <c r="R5" s="153" t="s">
        <v>21</v>
      </c>
      <c r="S5" s="153" t="s">
        <v>74</v>
      </c>
      <c r="T5" s="154" t="s">
        <v>16</v>
      </c>
      <c r="U5" s="155" t="s">
        <v>2</v>
      </c>
      <c r="V5" s="156" t="s">
        <v>3</v>
      </c>
      <c r="W5" s="156" t="s">
        <v>4</v>
      </c>
      <c r="X5" s="157" t="s">
        <v>69</v>
      </c>
      <c r="Y5" s="158" t="s">
        <v>0</v>
      </c>
      <c r="Z5" s="159" t="s">
        <v>70</v>
      </c>
      <c r="AA5" s="160" t="s">
        <v>75</v>
      </c>
      <c r="AB5" s="161" t="s">
        <v>30</v>
      </c>
      <c r="AC5" s="162" t="s">
        <v>76</v>
      </c>
      <c r="AD5" s="144" t="s">
        <v>68</v>
      </c>
    </row>
    <row r="6" spans="1:30" x14ac:dyDescent="0.25">
      <c r="A6" s="163">
        <v>45962</v>
      </c>
      <c r="B6" s="164">
        <v>85</v>
      </c>
      <c r="C6" s="165">
        <v>95</v>
      </c>
      <c r="D6" s="165">
        <v>85</v>
      </c>
      <c r="E6" s="165"/>
      <c r="F6" s="165">
        <v>314</v>
      </c>
      <c r="G6" s="165"/>
      <c r="H6" s="165">
        <f>B6*0.2+SUM(C6:F6)*0.4</f>
        <v>214.60000000000002</v>
      </c>
      <c r="I6" s="167">
        <v>24894.365450000001</v>
      </c>
      <c r="J6" s="166">
        <f>I6/H6</f>
        <v>116.00356686859273</v>
      </c>
      <c r="K6" s="164">
        <v>38</v>
      </c>
      <c r="L6" s="177">
        <v>2528.3000000000002</v>
      </c>
      <c r="M6" s="168">
        <f>L6/K6</f>
        <v>66.534210526315789</v>
      </c>
      <c r="N6" s="164"/>
      <c r="O6" s="165">
        <v>7</v>
      </c>
      <c r="P6" s="165">
        <v>98.49</v>
      </c>
      <c r="Q6" s="177">
        <f>P6/O6</f>
        <v>14.069999999999999</v>
      </c>
      <c r="R6" s="165">
        <v>6</v>
      </c>
      <c r="S6" s="167">
        <v>41.46</v>
      </c>
      <c r="T6" s="197">
        <f>S6/R6</f>
        <v>6.91</v>
      </c>
      <c r="U6" s="164"/>
      <c r="V6" s="165"/>
      <c r="W6" s="165"/>
      <c r="X6" s="165"/>
      <c r="Y6" s="165"/>
      <c r="Z6" s="169" t="e">
        <f>Y6/X6</f>
        <v>#DIV/0!</v>
      </c>
      <c r="AA6" s="198">
        <v>106</v>
      </c>
      <c r="AB6" s="171">
        <v>1201.0999999999999</v>
      </c>
      <c r="AC6" s="172">
        <f>AB6/AA6</f>
        <v>11.331132075471697</v>
      </c>
      <c r="AD6" s="199">
        <f t="shared" ref="AD6:AD36" si="0">I6+L6+P6+S6+AB6</f>
        <v>28763.71545</v>
      </c>
    </row>
    <row r="7" spans="1:30" x14ac:dyDescent="0.25">
      <c r="A7" s="163">
        <v>45963</v>
      </c>
      <c r="B7" s="164">
        <v>200</v>
      </c>
      <c r="C7" s="165">
        <v>210</v>
      </c>
      <c r="D7" s="165">
        <v>246</v>
      </c>
      <c r="E7" s="176"/>
      <c r="F7" s="165">
        <v>338</v>
      </c>
      <c r="G7" s="176"/>
      <c r="H7" s="165">
        <f t="shared" ref="H7:H32" si="1">B7*0.2+SUM(C7:F7)*0.4</f>
        <v>357.6</v>
      </c>
      <c r="I7" s="177">
        <v>33990.760950000004</v>
      </c>
      <c r="J7" s="166">
        <f t="shared" ref="J7:J36" si="2">I7/H7</f>
        <v>95.052463506711419</v>
      </c>
      <c r="K7" s="175">
        <v>44</v>
      </c>
      <c r="L7" s="177">
        <v>2490</v>
      </c>
      <c r="M7" s="178">
        <f t="shared" ref="M7:M36" si="3">L7/K7</f>
        <v>56.590909090909093</v>
      </c>
      <c r="N7" s="175"/>
      <c r="O7" s="165">
        <v>45</v>
      </c>
      <c r="P7" s="200">
        <v>631.41</v>
      </c>
      <c r="Q7" s="177">
        <f>P7/O7</f>
        <v>14.031333333333333</v>
      </c>
      <c r="R7" s="165">
        <v>269</v>
      </c>
      <c r="S7" s="167">
        <v>1839.26</v>
      </c>
      <c r="T7" s="197">
        <f t="shared" ref="T7:T36" si="4">S7/R7</f>
        <v>6.8373977695167287</v>
      </c>
      <c r="U7" s="175"/>
      <c r="V7" s="176"/>
      <c r="W7" s="176"/>
      <c r="X7" s="176"/>
      <c r="Y7" s="176"/>
      <c r="Z7" s="179"/>
      <c r="AA7" s="198">
        <v>106</v>
      </c>
      <c r="AB7" s="104">
        <v>1131.3499999999999</v>
      </c>
      <c r="AC7" s="172">
        <f>AB7/AA7</f>
        <v>10.67311320754717</v>
      </c>
      <c r="AD7" s="199">
        <f t="shared" si="0"/>
        <v>40082.780950000008</v>
      </c>
    </row>
    <row r="8" spans="1:30" x14ac:dyDescent="0.25">
      <c r="A8" s="163">
        <v>45964</v>
      </c>
      <c r="B8" s="164">
        <v>200</v>
      </c>
      <c r="C8" s="165">
        <v>210</v>
      </c>
      <c r="D8" s="165">
        <v>215</v>
      </c>
      <c r="E8" s="176"/>
      <c r="F8" s="165">
        <v>338</v>
      </c>
      <c r="G8" s="176"/>
      <c r="H8" s="165">
        <f t="shared" si="1"/>
        <v>345.2</v>
      </c>
      <c r="I8" s="177">
        <v>31620.25</v>
      </c>
      <c r="J8" s="166">
        <f t="shared" si="2"/>
        <v>91.599797219003477</v>
      </c>
      <c r="K8" s="175">
        <v>44</v>
      </c>
      <c r="L8" s="177">
        <v>2618.6305000000002</v>
      </c>
      <c r="M8" s="178">
        <f t="shared" si="3"/>
        <v>59.514329545454551</v>
      </c>
      <c r="N8" s="175"/>
      <c r="O8" s="165">
        <v>65</v>
      </c>
      <c r="P8" s="177">
        <v>907.58</v>
      </c>
      <c r="Q8" s="177">
        <f>P8/O8</f>
        <v>13.962769230769231</v>
      </c>
      <c r="R8" s="176">
        <v>128</v>
      </c>
      <c r="S8" s="167">
        <v>900.48</v>
      </c>
      <c r="T8" s="197">
        <f t="shared" si="4"/>
        <v>7.0350000000000001</v>
      </c>
      <c r="U8" s="175"/>
      <c r="V8" s="176"/>
      <c r="W8" s="176"/>
      <c r="X8" s="176"/>
      <c r="Y8" s="176"/>
      <c r="Z8" s="179"/>
      <c r="AA8" s="198">
        <v>106</v>
      </c>
      <c r="AB8" s="104">
        <v>1161.3</v>
      </c>
      <c r="AC8" s="172">
        <f>AB8/AA8</f>
        <v>10.955660377358489</v>
      </c>
      <c r="AD8" s="199">
        <f t="shared" si="0"/>
        <v>37208.240500000007</v>
      </c>
    </row>
    <row r="9" spans="1:30" x14ac:dyDescent="0.25">
      <c r="A9" s="163">
        <v>45965</v>
      </c>
      <c r="B9" s="164">
        <v>200</v>
      </c>
      <c r="C9" s="165">
        <v>210</v>
      </c>
      <c r="D9" s="165">
        <v>205</v>
      </c>
      <c r="E9" s="176"/>
      <c r="F9" s="165">
        <v>411</v>
      </c>
      <c r="G9" s="176"/>
      <c r="H9" s="165">
        <f t="shared" si="1"/>
        <v>370.40000000000003</v>
      </c>
      <c r="I9" s="177">
        <v>38632.100149999998</v>
      </c>
      <c r="J9" s="181">
        <f t="shared" si="2"/>
        <v>104.29832653887688</v>
      </c>
      <c r="K9" s="175">
        <v>44</v>
      </c>
      <c r="L9" s="205">
        <f>2038.6+700</f>
        <v>2738.6</v>
      </c>
      <c r="M9" s="178">
        <f t="shared" si="3"/>
        <v>62.240909090909092</v>
      </c>
      <c r="N9" s="175"/>
      <c r="O9" s="165">
        <v>30</v>
      </c>
      <c r="P9" s="177">
        <v>405.45000000000005</v>
      </c>
      <c r="Q9" s="177">
        <f t="shared" ref="Q9:Q36" si="5">P9/O9</f>
        <v>13.515000000000002</v>
      </c>
      <c r="R9" s="176">
        <v>123</v>
      </c>
      <c r="S9" s="167">
        <v>864.96</v>
      </c>
      <c r="T9" s="197">
        <f t="shared" si="4"/>
        <v>7.0321951219512195</v>
      </c>
      <c r="U9" s="175"/>
      <c r="V9" s="176"/>
      <c r="W9" s="176"/>
      <c r="X9" s="176"/>
      <c r="Y9" s="176"/>
      <c r="Z9" s="179"/>
      <c r="AA9" s="198">
        <v>106</v>
      </c>
      <c r="AB9" s="104">
        <v>1141.44</v>
      </c>
      <c r="AC9" s="172">
        <f>AB9/AA9</f>
        <v>10.768301886792454</v>
      </c>
      <c r="AD9" s="199">
        <f t="shared" si="0"/>
        <v>43782.550149999995</v>
      </c>
    </row>
    <row r="10" spans="1:30" x14ac:dyDescent="0.25">
      <c r="A10" s="163">
        <v>45966</v>
      </c>
      <c r="B10" s="164">
        <v>200</v>
      </c>
      <c r="C10" s="165">
        <v>210</v>
      </c>
      <c r="D10" s="165">
        <v>205</v>
      </c>
      <c r="E10" s="176"/>
      <c r="F10" s="165">
        <v>401</v>
      </c>
      <c r="G10" s="176"/>
      <c r="H10" s="165">
        <f>B10*0.2+SUM(C10:F10)*0.4+G10*40%</f>
        <v>366.40000000000003</v>
      </c>
      <c r="I10" s="177">
        <v>34980.337400000004</v>
      </c>
      <c r="J10" s="181">
        <f t="shared" si="2"/>
        <v>95.47035316593886</v>
      </c>
      <c r="K10" s="175">
        <v>44</v>
      </c>
      <c r="L10" s="177">
        <f>1719.03+700</f>
        <v>2419.0299999999997</v>
      </c>
      <c r="M10" s="178">
        <f t="shared" si="3"/>
        <v>54.977954545454537</v>
      </c>
      <c r="N10" s="175"/>
      <c r="O10" s="165">
        <v>30</v>
      </c>
      <c r="P10" s="177">
        <v>421.32</v>
      </c>
      <c r="Q10" s="177">
        <f t="shared" si="5"/>
        <v>14.044</v>
      </c>
      <c r="R10" s="176">
        <v>123</v>
      </c>
      <c r="S10" s="167">
        <v>865.1</v>
      </c>
      <c r="T10" s="197">
        <f t="shared" si="4"/>
        <v>7.0333333333333332</v>
      </c>
      <c r="U10" s="175"/>
      <c r="V10" s="176"/>
      <c r="W10" s="176"/>
      <c r="X10" s="176"/>
      <c r="Y10" s="176"/>
      <c r="Z10" s="179"/>
      <c r="AA10" s="198">
        <v>106</v>
      </c>
      <c r="AB10" s="104">
        <v>1262.53</v>
      </c>
      <c r="AC10" s="172">
        <f t="shared" ref="AC10:AC36" si="6">AB10/AA10</f>
        <v>11.910660377358491</v>
      </c>
      <c r="AD10" s="199">
        <f t="shared" si="0"/>
        <v>39948.3174</v>
      </c>
    </row>
    <row r="11" spans="1:30" x14ac:dyDescent="0.25">
      <c r="A11" s="163">
        <v>45967</v>
      </c>
      <c r="B11" s="164">
        <v>200</v>
      </c>
      <c r="C11" s="165">
        <v>210</v>
      </c>
      <c r="D11" s="165">
        <v>205</v>
      </c>
      <c r="E11" s="176"/>
      <c r="F11" s="165">
        <v>391</v>
      </c>
      <c r="G11" s="176"/>
      <c r="H11" s="165">
        <f>B11*0.2+SUM(C11:D11:G11)*0.4</f>
        <v>362.40000000000003</v>
      </c>
      <c r="I11" s="177">
        <v>35157.72</v>
      </c>
      <c r="J11" s="181">
        <f t="shared" si="2"/>
        <v>97.013576158940396</v>
      </c>
      <c r="K11" s="175">
        <v>44</v>
      </c>
      <c r="L11" s="177">
        <f>1875.4+700</f>
        <v>2575.4</v>
      </c>
      <c r="M11" s="178">
        <f t="shared" si="3"/>
        <v>58.531818181818181</v>
      </c>
      <c r="N11" s="175"/>
      <c r="O11" s="165">
        <v>30</v>
      </c>
      <c r="P11" s="177">
        <v>420</v>
      </c>
      <c r="Q11" s="177">
        <f t="shared" si="5"/>
        <v>14</v>
      </c>
      <c r="R11" s="176">
        <v>128</v>
      </c>
      <c r="S11" s="167">
        <v>899.85</v>
      </c>
      <c r="T11" s="197">
        <f t="shared" si="4"/>
        <v>7.0300781250000002</v>
      </c>
      <c r="U11" s="175"/>
      <c r="V11" s="176"/>
      <c r="W11" s="176"/>
      <c r="X11" s="176"/>
      <c r="Y11" s="176"/>
      <c r="Z11" s="179"/>
      <c r="AA11" s="198">
        <v>106</v>
      </c>
      <c r="AB11" s="104">
        <v>1128.97</v>
      </c>
      <c r="AC11" s="172">
        <f t="shared" si="6"/>
        <v>10.650660377358491</v>
      </c>
      <c r="AD11" s="199">
        <f t="shared" si="0"/>
        <v>40181.94</v>
      </c>
    </row>
    <row r="12" spans="1:30" x14ac:dyDescent="0.25">
      <c r="A12" s="163">
        <v>45968</v>
      </c>
      <c r="B12" s="164">
        <v>85</v>
      </c>
      <c r="C12" s="165">
        <v>95</v>
      </c>
      <c r="D12" s="165">
        <v>85</v>
      </c>
      <c r="E12" s="176"/>
      <c r="F12" s="165">
        <v>361</v>
      </c>
      <c r="G12" s="176"/>
      <c r="H12" s="165">
        <f>B12*0.2+SUM(C12:G12)*0.4</f>
        <v>233.4</v>
      </c>
      <c r="I12" s="177">
        <v>22151.176199999998</v>
      </c>
      <c r="J12" s="181">
        <f t="shared" si="2"/>
        <v>94.906496143958861</v>
      </c>
      <c r="K12" s="175">
        <v>40</v>
      </c>
      <c r="L12" s="177">
        <f>1788.11+700</f>
        <v>2488.1099999999997</v>
      </c>
      <c r="M12" s="178">
        <f t="shared" si="3"/>
        <v>62.202749999999995</v>
      </c>
      <c r="N12" s="175"/>
      <c r="O12" s="176">
        <v>7</v>
      </c>
      <c r="P12" s="177">
        <v>102.63</v>
      </c>
      <c r="Q12" s="177">
        <f t="shared" si="5"/>
        <v>14.661428571428571</v>
      </c>
      <c r="R12" s="176">
        <v>2</v>
      </c>
      <c r="S12" s="167">
        <v>14.580000000000002</v>
      </c>
      <c r="T12" s="197">
        <f t="shared" si="4"/>
        <v>7.2900000000000009</v>
      </c>
      <c r="U12" s="175"/>
      <c r="V12" s="176"/>
      <c r="W12" s="176"/>
      <c r="X12" s="176"/>
      <c r="Y12" s="176"/>
      <c r="Z12" s="179"/>
      <c r="AA12" s="198">
        <v>106</v>
      </c>
      <c r="AB12" s="104">
        <v>1285.4500000000003</v>
      </c>
      <c r="AC12" s="172">
        <f t="shared" si="6"/>
        <v>12.126886792452833</v>
      </c>
      <c r="AD12" s="199">
        <f t="shared" si="0"/>
        <v>26041.946200000002</v>
      </c>
    </row>
    <row r="13" spans="1:30" x14ac:dyDescent="0.25">
      <c r="A13" s="163">
        <v>45969</v>
      </c>
      <c r="B13" s="164">
        <v>85</v>
      </c>
      <c r="C13" s="165">
        <v>95</v>
      </c>
      <c r="D13" s="165">
        <v>85</v>
      </c>
      <c r="E13" s="176"/>
      <c r="F13" s="165">
        <v>358</v>
      </c>
      <c r="G13" s="176"/>
      <c r="H13" s="165">
        <f>B13*0.2+SUM(C13:D13:G13)*0.4</f>
        <v>232.20000000000002</v>
      </c>
      <c r="I13" s="177">
        <v>27714.64878</v>
      </c>
      <c r="J13" s="181">
        <f t="shared" si="2"/>
        <v>119.3567992248062</v>
      </c>
      <c r="K13" s="175">
        <v>42</v>
      </c>
      <c r="L13" s="177">
        <f>1406.995+700</f>
        <v>2106.9949999999999</v>
      </c>
      <c r="M13" s="178">
        <f t="shared" si="3"/>
        <v>50.16654761904762</v>
      </c>
      <c r="N13" s="175"/>
      <c r="O13" s="176">
        <v>7</v>
      </c>
      <c r="P13" s="177">
        <v>98.49</v>
      </c>
      <c r="Q13" s="177">
        <f t="shared" si="5"/>
        <v>14.069999999999999</v>
      </c>
      <c r="R13" s="176">
        <v>2</v>
      </c>
      <c r="S13" s="167">
        <v>14.25</v>
      </c>
      <c r="T13" s="197">
        <f t="shared" si="4"/>
        <v>7.125</v>
      </c>
      <c r="U13" s="175"/>
      <c r="V13" s="176"/>
      <c r="W13" s="176"/>
      <c r="X13" s="176"/>
      <c r="Y13" s="176"/>
      <c r="Z13" s="179"/>
      <c r="AA13" s="198">
        <v>106</v>
      </c>
      <c r="AB13" s="104">
        <v>1206.8</v>
      </c>
      <c r="AC13" s="172">
        <f t="shared" si="6"/>
        <v>11.384905660377358</v>
      </c>
      <c r="AD13" s="199">
        <f t="shared" si="0"/>
        <v>31141.183779999999</v>
      </c>
    </row>
    <row r="14" spans="1:30" x14ac:dyDescent="0.25">
      <c r="A14" s="163">
        <v>45970</v>
      </c>
      <c r="B14" s="164">
        <v>200</v>
      </c>
      <c r="C14" s="165">
        <v>210</v>
      </c>
      <c r="D14" s="176">
        <v>242</v>
      </c>
      <c r="E14" s="176"/>
      <c r="F14" s="165">
        <v>404</v>
      </c>
      <c r="G14" s="176"/>
      <c r="H14" s="165">
        <f t="shared" si="1"/>
        <v>382.40000000000003</v>
      </c>
      <c r="I14" s="177">
        <v>33554.82</v>
      </c>
      <c r="J14" s="181">
        <f t="shared" si="2"/>
        <v>87.74796025104601</v>
      </c>
      <c r="K14" s="175">
        <v>42</v>
      </c>
      <c r="L14" s="177">
        <f>1666.25+700</f>
        <v>2366.25</v>
      </c>
      <c r="M14" s="178">
        <f t="shared" si="3"/>
        <v>56.339285714285715</v>
      </c>
      <c r="N14" s="175"/>
      <c r="O14" s="176">
        <v>45</v>
      </c>
      <c r="P14" s="177">
        <v>631.04</v>
      </c>
      <c r="Q14" s="177">
        <f t="shared" si="5"/>
        <v>14.02311111111111</v>
      </c>
      <c r="R14" s="176">
        <v>269</v>
      </c>
      <c r="S14" s="177">
        <v>1883.1299999999999</v>
      </c>
      <c r="T14" s="197">
        <f t="shared" si="4"/>
        <v>7.0004832713754643</v>
      </c>
      <c r="U14" s="175"/>
      <c r="V14" s="176"/>
      <c r="W14" s="176"/>
      <c r="X14" s="176"/>
      <c r="Y14" s="176"/>
      <c r="Z14" s="179"/>
      <c r="AA14" s="198">
        <v>106</v>
      </c>
      <c r="AB14" s="104">
        <v>1286.22</v>
      </c>
      <c r="AC14" s="172">
        <f t="shared" si="6"/>
        <v>12.134150943396227</v>
      </c>
      <c r="AD14" s="199">
        <f t="shared" si="0"/>
        <v>39721.46</v>
      </c>
    </row>
    <row r="15" spans="1:30" x14ac:dyDescent="0.25">
      <c r="A15" s="163">
        <v>45971</v>
      </c>
      <c r="B15" s="164">
        <v>200</v>
      </c>
      <c r="C15" s="165">
        <v>210</v>
      </c>
      <c r="D15" s="176">
        <v>228</v>
      </c>
      <c r="E15" s="176"/>
      <c r="F15" s="165">
        <v>408</v>
      </c>
      <c r="G15" s="176"/>
      <c r="H15" s="165">
        <f t="shared" si="1"/>
        <v>378.40000000000003</v>
      </c>
      <c r="I15" s="177">
        <v>32559.769999999997</v>
      </c>
      <c r="J15" s="181">
        <f t="shared" si="2"/>
        <v>86.045903805496806</v>
      </c>
      <c r="K15" s="175">
        <v>42</v>
      </c>
      <c r="L15" s="177">
        <f>1531.5+700</f>
        <v>2231.5</v>
      </c>
      <c r="M15" s="178">
        <f t="shared" si="3"/>
        <v>53.13095238095238</v>
      </c>
      <c r="N15" s="175"/>
      <c r="O15" s="176">
        <v>45</v>
      </c>
      <c r="P15" s="177">
        <v>632.9</v>
      </c>
      <c r="Q15" s="177">
        <f t="shared" si="5"/>
        <v>14.064444444444444</v>
      </c>
      <c r="R15" s="176">
        <v>128</v>
      </c>
      <c r="S15" s="177">
        <v>897.42</v>
      </c>
      <c r="T15" s="197">
        <f t="shared" si="4"/>
        <v>7.0110937499999997</v>
      </c>
      <c r="U15" s="175"/>
      <c r="V15" s="176"/>
      <c r="W15" s="176"/>
      <c r="X15" s="176"/>
      <c r="Y15" s="176"/>
      <c r="Z15" s="179"/>
      <c r="AA15" s="198">
        <v>106</v>
      </c>
      <c r="AB15" s="104">
        <v>1212.9974999999999</v>
      </c>
      <c r="AC15" s="172">
        <f t="shared" si="6"/>
        <v>11.443372641509434</v>
      </c>
      <c r="AD15" s="199">
        <f t="shared" si="0"/>
        <v>37534.587499999994</v>
      </c>
    </row>
    <row r="16" spans="1:30" x14ac:dyDescent="0.25">
      <c r="A16" s="163">
        <v>45972</v>
      </c>
      <c r="B16" s="164">
        <v>200</v>
      </c>
      <c r="C16" s="165">
        <v>210</v>
      </c>
      <c r="D16" s="176">
        <v>205</v>
      </c>
      <c r="E16" s="176"/>
      <c r="F16" s="165">
        <v>416</v>
      </c>
      <c r="G16" s="176"/>
      <c r="H16" s="165">
        <f t="shared" si="1"/>
        <v>372.40000000000003</v>
      </c>
      <c r="I16" s="177">
        <v>33400.33</v>
      </c>
      <c r="J16" s="181">
        <f t="shared" si="2"/>
        <v>89.689393125671316</v>
      </c>
      <c r="K16" s="175">
        <v>42</v>
      </c>
      <c r="L16" s="177">
        <f>1529.86+700</f>
        <v>2229.8599999999997</v>
      </c>
      <c r="M16" s="178">
        <f t="shared" si="3"/>
        <v>53.091904761904757</v>
      </c>
      <c r="N16" s="175"/>
      <c r="O16" s="176">
        <v>48</v>
      </c>
      <c r="P16" s="177">
        <v>674.80000000000007</v>
      </c>
      <c r="Q16" s="177">
        <f t="shared" si="5"/>
        <v>14.058333333333335</v>
      </c>
      <c r="R16" s="176">
        <v>118</v>
      </c>
      <c r="S16" s="177">
        <v>824.74000000000012</v>
      </c>
      <c r="T16" s="197">
        <f t="shared" si="4"/>
        <v>6.989322033898306</v>
      </c>
      <c r="U16" s="175"/>
      <c r="V16" s="176"/>
      <c r="W16" s="176"/>
      <c r="X16" s="176"/>
      <c r="Y16" s="176"/>
      <c r="Z16" s="179"/>
      <c r="AA16" s="198">
        <v>106</v>
      </c>
      <c r="AB16" s="104">
        <v>1239.2899999999997</v>
      </c>
      <c r="AC16" s="172">
        <f t="shared" si="6"/>
        <v>11.69141509433962</v>
      </c>
      <c r="AD16" s="199">
        <f t="shared" si="0"/>
        <v>38369.020000000004</v>
      </c>
    </row>
    <row r="17" spans="1:30" x14ac:dyDescent="0.25">
      <c r="A17" s="163">
        <v>45973</v>
      </c>
      <c r="B17" s="164">
        <v>200</v>
      </c>
      <c r="C17" s="165">
        <v>210</v>
      </c>
      <c r="D17" s="176">
        <v>205</v>
      </c>
      <c r="E17" s="176"/>
      <c r="F17" s="165">
        <v>413</v>
      </c>
      <c r="G17" s="176">
        <v>40</v>
      </c>
      <c r="H17" s="165">
        <f>B17*0.2+SUM(C17:G17)*0.4</f>
        <v>387.20000000000005</v>
      </c>
      <c r="I17" s="177">
        <v>33920.482149999996</v>
      </c>
      <c r="J17" s="181">
        <f t="shared" si="2"/>
        <v>87.604551007231379</v>
      </c>
      <c r="K17" s="175">
        <v>42</v>
      </c>
      <c r="L17" s="177">
        <f>1778.24+700</f>
        <v>2478.2399999999998</v>
      </c>
      <c r="M17" s="178">
        <f t="shared" si="3"/>
        <v>59.005714285714284</v>
      </c>
      <c r="N17" s="175"/>
      <c r="O17" s="176">
        <v>33</v>
      </c>
      <c r="P17" s="177">
        <v>491.52</v>
      </c>
      <c r="Q17" s="177">
        <f t="shared" si="5"/>
        <v>14.894545454545455</v>
      </c>
      <c r="R17" s="176">
        <v>123</v>
      </c>
      <c r="S17" s="177">
        <v>860.87000000000012</v>
      </c>
      <c r="T17" s="197">
        <f t="shared" si="4"/>
        <v>6.9989430894308953</v>
      </c>
      <c r="U17" s="175"/>
      <c r="V17" s="176"/>
      <c r="W17" s="176"/>
      <c r="X17" s="176"/>
      <c r="Y17" s="176"/>
      <c r="Z17" s="179"/>
      <c r="AA17" s="198">
        <v>106</v>
      </c>
      <c r="AB17" s="104">
        <v>1171.8600000000001</v>
      </c>
      <c r="AC17" s="172">
        <f t="shared" si="6"/>
        <v>11.055283018867925</v>
      </c>
      <c r="AD17" s="199">
        <f t="shared" si="0"/>
        <v>38922.972149999994</v>
      </c>
    </row>
    <row r="18" spans="1:30" x14ac:dyDescent="0.25">
      <c r="A18" s="163">
        <v>45974</v>
      </c>
      <c r="B18" s="164">
        <v>200</v>
      </c>
      <c r="C18" s="165">
        <v>210</v>
      </c>
      <c r="D18" s="176">
        <v>205</v>
      </c>
      <c r="E18" s="176"/>
      <c r="F18" s="165">
        <v>399</v>
      </c>
      <c r="G18" s="176"/>
      <c r="H18" s="165">
        <f t="shared" si="1"/>
        <v>365.6</v>
      </c>
      <c r="I18" s="177">
        <v>28409.800000000003</v>
      </c>
      <c r="J18" s="181">
        <f t="shared" si="2"/>
        <v>77.707330415754925</v>
      </c>
      <c r="K18" s="175">
        <v>41</v>
      </c>
      <c r="L18" s="177">
        <f>1646.43+700</f>
        <v>2346.4300000000003</v>
      </c>
      <c r="M18" s="178">
        <f t="shared" si="3"/>
        <v>57.230000000000004</v>
      </c>
      <c r="N18" s="175"/>
      <c r="O18" s="176">
        <v>31</v>
      </c>
      <c r="P18" s="177">
        <v>433.65</v>
      </c>
      <c r="Q18" s="177">
        <f t="shared" si="5"/>
        <v>13.988709677419354</v>
      </c>
      <c r="R18" s="176">
        <v>128</v>
      </c>
      <c r="S18" s="177">
        <v>907.2</v>
      </c>
      <c r="T18" s="197">
        <f t="shared" si="4"/>
        <v>7.0875000000000004</v>
      </c>
      <c r="U18" s="175"/>
      <c r="V18" s="176"/>
      <c r="W18" s="176"/>
      <c r="X18" s="176"/>
      <c r="Y18" s="176"/>
      <c r="Z18" s="179"/>
      <c r="AA18" s="198">
        <v>106</v>
      </c>
      <c r="AB18" s="104">
        <v>1198.75</v>
      </c>
      <c r="AC18" s="172">
        <f t="shared" si="6"/>
        <v>11.308962264150944</v>
      </c>
      <c r="AD18" s="199">
        <f t="shared" si="0"/>
        <v>33295.83</v>
      </c>
    </row>
    <row r="19" spans="1:30" x14ac:dyDescent="0.25">
      <c r="A19" s="163">
        <v>45975</v>
      </c>
      <c r="B19" s="175">
        <v>85</v>
      </c>
      <c r="C19" s="176">
        <v>95</v>
      </c>
      <c r="D19" s="176">
        <v>85</v>
      </c>
      <c r="E19" s="176"/>
      <c r="F19" s="165">
        <v>348</v>
      </c>
      <c r="G19" s="176"/>
      <c r="H19" s="165">
        <f>B19*0.2+SUM(C19:G19)*0.4</f>
        <v>228.20000000000002</v>
      </c>
      <c r="I19" s="177">
        <v>22351.036599999999</v>
      </c>
      <c r="J19" s="181">
        <f t="shared" si="2"/>
        <v>97.94494566170026</v>
      </c>
      <c r="K19" s="175">
        <v>41</v>
      </c>
      <c r="L19" s="177">
        <f>1712.97+700</f>
        <v>2412.9700000000003</v>
      </c>
      <c r="M19" s="178">
        <f t="shared" si="3"/>
        <v>58.852926829268299</v>
      </c>
      <c r="N19" s="175"/>
      <c r="O19" s="176">
        <v>7</v>
      </c>
      <c r="P19" s="177">
        <v>98.550000000000011</v>
      </c>
      <c r="Q19" s="177">
        <f t="shared" si="5"/>
        <v>14.078571428571431</v>
      </c>
      <c r="R19" s="176">
        <v>4</v>
      </c>
      <c r="S19" s="177">
        <v>26.98</v>
      </c>
      <c r="T19" s="197">
        <f t="shared" si="4"/>
        <v>6.7450000000000001</v>
      </c>
      <c r="U19" s="175"/>
      <c r="V19" s="176"/>
      <c r="W19" s="176"/>
      <c r="X19" s="176"/>
      <c r="Y19" s="176"/>
      <c r="Z19" s="179"/>
      <c r="AA19" s="198">
        <v>106</v>
      </c>
      <c r="AB19" s="104">
        <v>1159.5999999999999</v>
      </c>
      <c r="AC19" s="172">
        <f t="shared" si="6"/>
        <v>10.939622641509434</v>
      </c>
      <c r="AD19" s="199">
        <f t="shared" si="0"/>
        <v>26049.136599999998</v>
      </c>
    </row>
    <row r="20" spans="1:30" x14ac:dyDescent="0.25">
      <c r="A20" s="163">
        <v>45976</v>
      </c>
      <c r="B20" s="175">
        <v>85</v>
      </c>
      <c r="C20" s="176">
        <v>95</v>
      </c>
      <c r="D20" s="176">
        <v>85</v>
      </c>
      <c r="E20" s="176"/>
      <c r="F20" s="165">
        <v>344</v>
      </c>
      <c r="G20" s="176"/>
      <c r="H20" s="165">
        <f t="shared" si="1"/>
        <v>226.60000000000002</v>
      </c>
      <c r="I20" s="177">
        <v>21169.73000000001</v>
      </c>
      <c r="J20" s="181">
        <f t="shared" si="2"/>
        <v>93.423345101500473</v>
      </c>
      <c r="K20" s="175">
        <v>41</v>
      </c>
      <c r="L20" s="177">
        <f>1928.26+700</f>
        <v>2628.26</v>
      </c>
      <c r="M20" s="178">
        <f t="shared" si="3"/>
        <v>64.103902439024395</v>
      </c>
      <c r="N20" s="175"/>
      <c r="O20" s="176">
        <v>7</v>
      </c>
      <c r="P20" s="177">
        <v>97.04</v>
      </c>
      <c r="Q20" s="177">
        <f t="shared" si="5"/>
        <v>13.862857142857143</v>
      </c>
      <c r="R20" s="176">
        <v>4</v>
      </c>
      <c r="S20" s="177">
        <v>30.240000000000002</v>
      </c>
      <c r="T20" s="197">
        <f t="shared" si="4"/>
        <v>7.5600000000000005</v>
      </c>
      <c r="U20" s="175"/>
      <c r="V20" s="176"/>
      <c r="W20" s="176"/>
      <c r="X20" s="176"/>
      <c r="Y20" s="176"/>
      <c r="Z20" s="179"/>
      <c r="AA20" s="198">
        <v>106</v>
      </c>
      <c r="AB20" s="104">
        <v>1170.8399999999999</v>
      </c>
      <c r="AC20" s="172">
        <f t="shared" si="6"/>
        <v>11.045660377358489</v>
      </c>
      <c r="AD20" s="199">
        <f t="shared" si="0"/>
        <v>25096.110000000015</v>
      </c>
    </row>
    <row r="21" spans="1:30" x14ac:dyDescent="0.25">
      <c r="A21" s="163">
        <v>45977</v>
      </c>
      <c r="B21" s="175">
        <v>200</v>
      </c>
      <c r="C21" s="176">
        <v>210</v>
      </c>
      <c r="D21" s="176">
        <v>205</v>
      </c>
      <c r="E21" s="176"/>
      <c r="F21" s="165">
        <v>355</v>
      </c>
      <c r="G21" s="176"/>
      <c r="H21" s="165">
        <f t="shared" si="1"/>
        <v>348</v>
      </c>
      <c r="I21" s="177">
        <v>30447.4</v>
      </c>
      <c r="J21" s="181">
        <f t="shared" si="2"/>
        <v>87.492528735632192</v>
      </c>
      <c r="K21" s="175">
        <v>41</v>
      </c>
      <c r="L21" s="177">
        <f>1806.61+700</f>
        <v>2506.6099999999997</v>
      </c>
      <c r="M21" s="178">
        <f t="shared" si="3"/>
        <v>61.136829268292672</v>
      </c>
      <c r="N21" s="175"/>
      <c r="O21" s="176">
        <v>7</v>
      </c>
      <c r="P21" s="177">
        <v>98.49</v>
      </c>
      <c r="Q21" s="177">
        <f t="shared" si="5"/>
        <v>14.069999999999999</v>
      </c>
      <c r="R21" s="176">
        <v>4</v>
      </c>
      <c r="S21" s="177">
        <v>27.93</v>
      </c>
      <c r="T21" s="197">
        <f t="shared" si="4"/>
        <v>6.9824999999999999</v>
      </c>
      <c r="U21" s="175"/>
      <c r="V21" s="176"/>
      <c r="W21" s="176"/>
      <c r="X21" s="176"/>
      <c r="Y21" s="176"/>
      <c r="Z21" s="179"/>
      <c r="AA21" s="198">
        <v>106</v>
      </c>
      <c r="AB21" s="104">
        <v>1182.8000000000002</v>
      </c>
      <c r="AC21" s="172">
        <f t="shared" si="6"/>
        <v>11.158490566037738</v>
      </c>
      <c r="AD21" s="199">
        <f t="shared" si="0"/>
        <v>34263.230000000003</v>
      </c>
    </row>
    <row r="22" spans="1:30" x14ac:dyDescent="0.25">
      <c r="A22" s="163">
        <v>45978</v>
      </c>
      <c r="B22" s="175">
        <v>200</v>
      </c>
      <c r="C22" s="176">
        <v>210</v>
      </c>
      <c r="D22" s="176">
        <v>227</v>
      </c>
      <c r="E22" s="176"/>
      <c r="F22" s="165">
        <v>405</v>
      </c>
      <c r="G22" s="176"/>
      <c r="H22" s="165">
        <f>B22*0.2+SUM(C22:G22)*0.4</f>
        <v>376.8</v>
      </c>
      <c r="I22" s="177">
        <v>34874.060000000005</v>
      </c>
      <c r="J22" s="181">
        <f t="shared" si="2"/>
        <v>92.553237791932077</v>
      </c>
      <c r="K22" s="175">
        <v>41</v>
      </c>
      <c r="L22" s="177">
        <f>1639.42+700</f>
        <v>2339.42</v>
      </c>
      <c r="M22" s="178">
        <f t="shared" si="3"/>
        <v>57.059024390243906</v>
      </c>
      <c r="N22" s="175"/>
      <c r="O22" s="176">
        <v>31</v>
      </c>
      <c r="P22" s="177">
        <v>436.65000000000003</v>
      </c>
      <c r="Q22" s="177">
        <f t="shared" si="5"/>
        <v>14.085483870967742</v>
      </c>
      <c r="R22" s="176">
        <v>271</v>
      </c>
      <c r="S22" s="177">
        <v>1901.4</v>
      </c>
      <c r="T22" s="197">
        <f t="shared" si="4"/>
        <v>7.0162361623616238</v>
      </c>
      <c r="U22" s="175"/>
      <c r="V22" s="176"/>
      <c r="W22" s="176"/>
      <c r="X22" s="176"/>
      <c r="Y22" s="176"/>
      <c r="Z22" s="179"/>
      <c r="AA22" s="198">
        <v>106</v>
      </c>
      <c r="AB22" s="104">
        <v>1194.5700000000002</v>
      </c>
      <c r="AC22" s="172">
        <f t="shared" si="6"/>
        <v>11.269528301886794</v>
      </c>
      <c r="AD22" s="199">
        <f t="shared" si="0"/>
        <v>40746.100000000006</v>
      </c>
    </row>
    <row r="23" spans="1:30" x14ac:dyDescent="0.25">
      <c r="A23" s="163">
        <v>45979</v>
      </c>
      <c r="B23" s="175">
        <v>200</v>
      </c>
      <c r="C23" s="176">
        <v>210</v>
      </c>
      <c r="D23" s="176">
        <v>205</v>
      </c>
      <c r="E23" s="176"/>
      <c r="F23" s="165">
        <v>411</v>
      </c>
      <c r="G23" s="176"/>
      <c r="H23" s="165">
        <f t="shared" si="1"/>
        <v>370.40000000000003</v>
      </c>
      <c r="I23" s="177">
        <v>36150.499149999996</v>
      </c>
      <c r="J23" s="181">
        <f t="shared" si="2"/>
        <v>97.598539821814242</v>
      </c>
      <c r="K23" s="175">
        <v>41</v>
      </c>
      <c r="L23" s="177">
        <f>1740.45+700</f>
        <v>2440.4499999999998</v>
      </c>
      <c r="M23" s="178">
        <f t="shared" si="3"/>
        <v>59.52317073170731</v>
      </c>
      <c r="N23" s="175"/>
      <c r="O23" s="176">
        <v>33</v>
      </c>
      <c r="P23" s="177">
        <v>464.7</v>
      </c>
      <c r="Q23" s="177">
        <f t="shared" si="5"/>
        <v>14.081818181818182</v>
      </c>
      <c r="R23" s="176">
        <v>118</v>
      </c>
      <c r="S23" s="177">
        <v>826.85</v>
      </c>
      <c r="T23" s="197">
        <f t="shared" si="4"/>
        <v>7.0072033898305088</v>
      </c>
      <c r="U23" s="175"/>
      <c r="V23" s="176"/>
      <c r="W23" s="176"/>
      <c r="X23" s="176"/>
      <c r="Y23" s="176"/>
      <c r="Z23" s="179"/>
      <c r="AA23" s="198">
        <v>106</v>
      </c>
      <c r="AB23" s="104">
        <v>1161.29</v>
      </c>
      <c r="AC23" s="172">
        <f t="shared" si="6"/>
        <v>10.955566037735849</v>
      </c>
      <c r="AD23" s="199">
        <f t="shared" si="0"/>
        <v>41043.78914999999</v>
      </c>
    </row>
    <row r="24" spans="1:30" x14ac:dyDescent="0.25">
      <c r="A24" s="163">
        <v>45980</v>
      </c>
      <c r="B24" s="175">
        <v>200</v>
      </c>
      <c r="C24" s="176">
        <v>210</v>
      </c>
      <c r="D24" s="176">
        <v>206</v>
      </c>
      <c r="E24" s="176"/>
      <c r="F24" s="165">
        <v>393</v>
      </c>
      <c r="G24" s="176"/>
      <c r="H24" s="165">
        <f t="shared" si="1"/>
        <v>363.6</v>
      </c>
      <c r="I24" s="177">
        <v>29609.625999999997</v>
      </c>
      <c r="J24" s="181">
        <f t="shared" si="2"/>
        <v>81.434614961496138</v>
      </c>
      <c r="K24" s="175">
        <v>42</v>
      </c>
      <c r="L24" s="177">
        <f>1858.31+700</f>
        <v>2558.31</v>
      </c>
      <c r="M24" s="178">
        <f t="shared" si="3"/>
        <v>60.912142857142854</v>
      </c>
      <c r="N24" s="175"/>
      <c r="O24" s="176">
        <v>28</v>
      </c>
      <c r="P24" s="177">
        <v>390.6</v>
      </c>
      <c r="Q24" s="177">
        <f t="shared" si="5"/>
        <v>13.950000000000001</v>
      </c>
      <c r="R24" s="176">
        <v>123</v>
      </c>
      <c r="S24" s="177">
        <v>856.08999999999992</v>
      </c>
      <c r="T24" s="197">
        <f t="shared" si="4"/>
        <v>6.9600813008130071</v>
      </c>
      <c r="U24" s="175"/>
      <c r="V24" s="176"/>
      <c r="W24" s="176"/>
      <c r="X24" s="176"/>
      <c r="Y24" s="176"/>
      <c r="Z24" s="179"/>
      <c r="AA24" s="198">
        <v>106</v>
      </c>
      <c r="AB24" s="104">
        <v>1225.4499999999998</v>
      </c>
      <c r="AC24" s="172">
        <f t="shared" si="6"/>
        <v>11.560849056603772</v>
      </c>
      <c r="AD24" s="199">
        <f t="shared" si="0"/>
        <v>34640.075999999994</v>
      </c>
    </row>
    <row r="25" spans="1:30" x14ac:dyDescent="0.25">
      <c r="A25" s="163">
        <v>45981</v>
      </c>
      <c r="B25" s="175">
        <v>200</v>
      </c>
      <c r="C25" s="176">
        <v>210</v>
      </c>
      <c r="D25" s="176">
        <v>205</v>
      </c>
      <c r="E25" s="176"/>
      <c r="F25" s="165">
        <v>394</v>
      </c>
      <c r="G25" s="176"/>
      <c r="H25" s="165">
        <f t="shared" si="1"/>
        <v>363.6</v>
      </c>
      <c r="I25" s="177">
        <v>29483.34</v>
      </c>
      <c r="J25" s="181">
        <f t="shared" si="2"/>
        <v>81.087293729372931</v>
      </c>
      <c r="K25" s="175">
        <v>42</v>
      </c>
      <c r="L25" s="177">
        <f>1915+700</f>
        <v>2615</v>
      </c>
      <c r="M25" s="178">
        <f t="shared" si="3"/>
        <v>62.261904761904759</v>
      </c>
      <c r="N25" s="175"/>
      <c r="O25" s="176">
        <v>28</v>
      </c>
      <c r="P25" s="177">
        <v>391.87</v>
      </c>
      <c r="Q25" s="177">
        <f t="shared" si="5"/>
        <v>13.995357142857143</v>
      </c>
      <c r="R25" s="176">
        <v>128</v>
      </c>
      <c r="S25" s="177">
        <v>881.91</v>
      </c>
      <c r="T25" s="197">
        <f t="shared" si="4"/>
        <v>6.8899218749999998</v>
      </c>
      <c r="U25" s="175"/>
      <c r="V25" s="176"/>
      <c r="W25" s="176"/>
      <c r="X25" s="176"/>
      <c r="Y25" s="176"/>
      <c r="Z25" s="179"/>
      <c r="AA25" s="198">
        <v>106</v>
      </c>
      <c r="AB25" s="104">
        <v>1146.57</v>
      </c>
      <c r="AC25" s="172">
        <f t="shared" si="6"/>
        <v>10.816698113207547</v>
      </c>
      <c r="AD25" s="199">
        <f t="shared" si="0"/>
        <v>34518.69</v>
      </c>
    </row>
    <row r="26" spans="1:30" x14ac:dyDescent="0.25">
      <c r="A26" s="163">
        <v>45982</v>
      </c>
      <c r="B26" s="175">
        <v>85</v>
      </c>
      <c r="C26" s="176">
        <v>95</v>
      </c>
      <c r="D26" s="176">
        <v>85</v>
      </c>
      <c r="E26" s="176"/>
      <c r="F26" s="165">
        <v>357</v>
      </c>
      <c r="G26" s="176"/>
      <c r="H26" s="165">
        <f>B26*0.2+SUM(C26:G26)*0.4</f>
        <v>231.8</v>
      </c>
      <c r="I26" s="177">
        <v>18147.490000000005</v>
      </c>
      <c r="J26" s="181">
        <f t="shared" si="2"/>
        <v>78.289430543572067</v>
      </c>
      <c r="K26" s="175">
        <v>42</v>
      </c>
      <c r="L26" s="177">
        <f>1689.58+700</f>
        <v>2389.58</v>
      </c>
      <c r="M26" s="178">
        <f t="shared" si="3"/>
        <v>56.8947619047619</v>
      </c>
      <c r="N26" s="175"/>
      <c r="O26" s="176">
        <v>7</v>
      </c>
      <c r="P26" s="177">
        <v>98.34</v>
      </c>
      <c r="Q26" s="177">
        <f t="shared" si="5"/>
        <v>14.04857142857143</v>
      </c>
      <c r="R26" s="176">
        <v>4</v>
      </c>
      <c r="S26" s="177">
        <v>31.14</v>
      </c>
      <c r="T26" s="197">
        <f t="shared" si="4"/>
        <v>7.7850000000000001</v>
      </c>
      <c r="U26" s="175"/>
      <c r="V26" s="176"/>
      <c r="W26" s="176"/>
      <c r="X26" s="176"/>
      <c r="Y26" s="176"/>
      <c r="Z26" s="179"/>
      <c r="AA26" s="198">
        <v>106</v>
      </c>
      <c r="AB26" s="104">
        <v>1124</v>
      </c>
      <c r="AC26" s="172">
        <f t="shared" si="6"/>
        <v>10.60377358490566</v>
      </c>
      <c r="AD26" s="199">
        <f t="shared" si="0"/>
        <v>21790.550000000007</v>
      </c>
    </row>
    <row r="27" spans="1:30" x14ac:dyDescent="0.25">
      <c r="A27" s="163">
        <v>45983</v>
      </c>
      <c r="B27" s="175">
        <v>85</v>
      </c>
      <c r="C27" s="176">
        <v>95</v>
      </c>
      <c r="D27" s="176">
        <v>85</v>
      </c>
      <c r="E27" s="176"/>
      <c r="F27" s="165">
        <v>351</v>
      </c>
      <c r="G27" s="176"/>
      <c r="H27" s="165">
        <f t="shared" si="1"/>
        <v>229.4</v>
      </c>
      <c r="I27" s="177">
        <v>25843.608950000002</v>
      </c>
      <c r="J27" s="181">
        <f t="shared" si="2"/>
        <v>112.65740605928509</v>
      </c>
      <c r="K27" s="175">
        <v>42</v>
      </c>
      <c r="L27" s="177">
        <f>1746.6+700</f>
        <v>2446.6</v>
      </c>
      <c r="M27" s="178">
        <f t="shared" si="3"/>
        <v>58.252380952380953</v>
      </c>
      <c r="N27" s="175"/>
      <c r="O27" s="176">
        <v>7</v>
      </c>
      <c r="P27" s="177">
        <v>98.550000000000011</v>
      </c>
      <c r="Q27" s="177">
        <f t="shared" si="5"/>
        <v>14.078571428571431</v>
      </c>
      <c r="R27" s="176">
        <v>4</v>
      </c>
      <c r="S27" s="177">
        <v>30.7</v>
      </c>
      <c r="T27" s="197">
        <f t="shared" si="4"/>
        <v>7.6749999999999998</v>
      </c>
      <c r="U27" s="175"/>
      <c r="V27" s="176"/>
      <c r="W27" s="176"/>
      <c r="X27" s="176"/>
      <c r="Y27" s="176"/>
      <c r="Z27" s="179"/>
      <c r="AA27" s="198">
        <v>106</v>
      </c>
      <c r="AB27" s="104">
        <v>1221.3699999999999</v>
      </c>
      <c r="AC27" s="172">
        <f t="shared" si="6"/>
        <v>11.522358490566036</v>
      </c>
      <c r="AD27" s="199">
        <f t="shared" si="0"/>
        <v>29640.828949999999</v>
      </c>
    </row>
    <row r="28" spans="1:30" x14ac:dyDescent="0.25">
      <c r="A28" s="163">
        <v>45984</v>
      </c>
      <c r="B28" s="175">
        <v>200</v>
      </c>
      <c r="C28" s="176">
        <v>210</v>
      </c>
      <c r="D28" s="176">
        <v>205</v>
      </c>
      <c r="E28" s="176"/>
      <c r="F28" s="165">
        <v>404</v>
      </c>
      <c r="G28" s="176"/>
      <c r="H28" s="165">
        <f t="shared" si="1"/>
        <v>367.6</v>
      </c>
      <c r="I28" s="177">
        <v>31692.114200000007</v>
      </c>
      <c r="J28" s="181">
        <f t="shared" si="2"/>
        <v>86.213585963003283</v>
      </c>
      <c r="K28" s="175">
        <v>42</v>
      </c>
      <c r="L28" s="177">
        <f>1614.11+700</f>
        <v>2314.1099999999997</v>
      </c>
      <c r="M28" s="178">
        <f t="shared" si="3"/>
        <v>55.097857142857137</v>
      </c>
      <c r="N28" s="175"/>
      <c r="O28" s="176">
        <v>43</v>
      </c>
      <c r="P28" s="177">
        <v>623.90000000000009</v>
      </c>
      <c r="Q28" s="177">
        <f t="shared" si="5"/>
        <v>14.509302325581398</v>
      </c>
      <c r="R28" s="176">
        <v>128</v>
      </c>
      <c r="S28" s="177">
        <v>880.80000000000007</v>
      </c>
      <c r="T28" s="197">
        <f t="shared" si="4"/>
        <v>6.8812500000000005</v>
      </c>
      <c r="U28" s="175"/>
      <c r="V28" s="176"/>
      <c r="W28" s="176"/>
      <c r="X28" s="176"/>
      <c r="Y28" s="176"/>
      <c r="Z28" s="179"/>
      <c r="AA28" s="198">
        <v>106</v>
      </c>
      <c r="AB28" s="104">
        <v>1131.6399999999999</v>
      </c>
      <c r="AC28" s="172">
        <f t="shared" si="6"/>
        <v>10.675849056603772</v>
      </c>
      <c r="AD28" s="199">
        <f t="shared" si="0"/>
        <v>36642.564200000008</v>
      </c>
    </row>
    <row r="29" spans="1:30" x14ac:dyDescent="0.25">
      <c r="A29" s="163">
        <v>45985</v>
      </c>
      <c r="B29" s="175">
        <v>200</v>
      </c>
      <c r="C29" s="176">
        <v>210</v>
      </c>
      <c r="D29" s="176">
        <v>205</v>
      </c>
      <c r="E29" s="176"/>
      <c r="F29" s="165">
        <v>407</v>
      </c>
      <c r="G29" s="176"/>
      <c r="H29" s="165">
        <f t="shared" si="1"/>
        <v>368.8</v>
      </c>
      <c r="I29" s="177">
        <v>31831.480349999994</v>
      </c>
      <c r="J29" s="181">
        <f t="shared" si="2"/>
        <v>86.310955395878509</v>
      </c>
      <c r="K29" s="175">
        <v>40</v>
      </c>
      <c r="L29" s="177">
        <f>1698.03+700</f>
        <v>2398.0299999999997</v>
      </c>
      <c r="M29" s="178">
        <f t="shared" si="3"/>
        <v>59.950749999999992</v>
      </c>
      <c r="N29" s="175"/>
      <c r="O29" s="176">
        <v>41</v>
      </c>
      <c r="P29" s="177">
        <v>575.22</v>
      </c>
      <c r="Q29" s="177">
        <f t="shared" si="5"/>
        <v>14.029756097560977</v>
      </c>
      <c r="R29" s="176">
        <v>128</v>
      </c>
      <c r="S29" s="177">
        <v>889.75999999999988</v>
      </c>
      <c r="T29" s="197">
        <f t="shared" si="4"/>
        <v>6.951249999999999</v>
      </c>
      <c r="U29" s="175"/>
      <c r="V29" s="176"/>
      <c r="W29" s="176"/>
      <c r="X29" s="176"/>
      <c r="Y29" s="176"/>
      <c r="Z29" s="179"/>
      <c r="AA29" s="198">
        <v>106</v>
      </c>
      <c r="AB29" s="104">
        <v>1154.3899999999999</v>
      </c>
      <c r="AC29" s="172">
        <f t="shared" si="6"/>
        <v>10.890471698113206</v>
      </c>
      <c r="AD29" s="199">
        <f t="shared" si="0"/>
        <v>36848.880349999999</v>
      </c>
    </row>
    <row r="30" spans="1:30" x14ac:dyDescent="0.25">
      <c r="A30" s="163">
        <v>45986</v>
      </c>
      <c r="B30" s="175">
        <v>200</v>
      </c>
      <c r="C30" s="176">
        <v>210</v>
      </c>
      <c r="D30" s="176">
        <v>205</v>
      </c>
      <c r="E30" s="176"/>
      <c r="F30" s="165">
        <v>407</v>
      </c>
      <c r="G30" s="176"/>
      <c r="H30" s="165">
        <f t="shared" si="1"/>
        <v>368.8</v>
      </c>
      <c r="I30" s="177">
        <v>25379.58</v>
      </c>
      <c r="J30" s="181">
        <f t="shared" si="2"/>
        <v>68.8166485900217</v>
      </c>
      <c r="K30" s="175">
        <v>40</v>
      </c>
      <c r="L30" s="177">
        <f>1817.5+700</f>
        <v>2517.5</v>
      </c>
      <c r="M30" s="178">
        <f t="shared" si="3"/>
        <v>62.9375</v>
      </c>
      <c r="N30" s="175"/>
      <c r="O30" s="176">
        <v>39</v>
      </c>
      <c r="P30" s="177">
        <v>546.88</v>
      </c>
      <c r="Q30" s="177">
        <f t="shared" si="5"/>
        <v>14.022564102564102</v>
      </c>
      <c r="R30" s="176">
        <v>118</v>
      </c>
      <c r="S30" s="177">
        <v>828.65</v>
      </c>
      <c r="T30" s="197">
        <f t="shared" si="4"/>
        <v>7.0224576271186443</v>
      </c>
      <c r="U30" s="175"/>
      <c r="V30" s="176"/>
      <c r="W30" s="176"/>
      <c r="X30" s="176"/>
      <c r="Y30" s="176"/>
      <c r="Z30" s="179"/>
      <c r="AA30" s="198">
        <v>106</v>
      </c>
      <c r="AB30" s="104">
        <v>1118.0999999999999</v>
      </c>
      <c r="AC30" s="172">
        <f t="shared" si="6"/>
        <v>10.54811320754717</v>
      </c>
      <c r="AD30" s="199">
        <f t="shared" si="0"/>
        <v>30390.710000000003</v>
      </c>
    </row>
    <row r="31" spans="1:30" x14ac:dyDescent="0.25">
      <c r="A31" s="163">
        <v>45987</v>
      </c>
      <c r="B31" s="175">
        <v>200</v>
      </c>
      <c r="C31" s="176">
        <v>210</v>
      </c>
      <c r="D31" s="176">
        <v>205</v>
      </c>
      <c r="E31" s="176"/>
      <c r="F31" s="165">
        <v>400</v>
      </c>
      <c r="G31" s="176"/>
      <c r="H31" s="165">
        <f t="shared" si="1"/>
        <v>366</v>
      </c>
      <c r="I31" s="177">
        <v>21101.46</v>
      </c>
      <c r="J31" s="181">
        <f t="shared" si="2"/>
        <v>57.654262295081963</v>
      </c>
      <c r="K31" s="175">
        <v>40</v>
      </c>
      <c r="L31" s="177">
        <f>1659.16+700</f>
        <v>2359.16</v>
      </c>
      <c r="M31" s="178">
        <f t="shared" si="3"/>
        <v>58.978999999999999</v>
      </c>
      <c r="N31" s="175"/>
      <c r="O31" s="176">
        <v>24</v>
      </c>
      <c r="P31" s="176">
        <v>332.92</v>
      </c>
      <c r="Q31" s="177">
        <f t="shared" si="5"/>
        <v>13.871666666666668</v>
      </c>
      <c r="R31" s="176">
        <v>123</v>
      </c>
      <c r="S31" s="177">
        <v>863.7</v>
      </c>
      <c r="T31" s="197">
        <f t="shared" si="4"/>
        <v>7.0219512195121956</v>
      </c>
      <c r="U31" s="175"/>
      <c r="V31" s="176"/>
      <c r="W31" s="176"/>
      <c r="X31" s="176"/>
      <c r="Y31" s="176"/>
      <c r="Z31" s="179"/>
      <c r="AA31" s="198">
        <v>106</v>
      </c>
      <c r="AB31" s="104">
        <v>1220.33</v>
      </c>
      <c r="AC31" s="172">
        <f t="shared" si="6"/>
        <v>11.51254716981132</v>
      </c>
      <c r="AD31" s="199">
        <f t="shared" si="0"/>
        <v>25877.57</v>
      </c>
    </row>
    <row r="32" spans="1:30" x14ac:dyDescent="0.25">
      <c r="A32" s="163">
        <v>45988</v>
      </c>
      <c r="B32" s="175">
        <v>200</v>
      </c>
      <c r="C32" s="176">
        <v>210</v>
      </c>
      <c r="D32" s="176">
        <v>205</v>
      </c>
      <c r="E32" s="176"/>
      <c r="F32" s="165">
        <v>395</v>
      </c>
      <c r="G32" s="176"/>
      <c r="H32" s="165">
        <f t="shared" si="1"/>
        <v>364</v>
      </c>
      <c r="I32" s="177">
        <v>23915.829999999998</v>
      </c>
      <c r="J32" s="181">
        <f t="shared" si="2"/>
        <v>65.702829670329663</v>
      </c>
      <c r="K32" s="175">
        <v>38</v>
      </c>
      <c r="L32" s="177">
        <f>1527.28+700</f>
        <v>2227.2799999999997</v>
      </c>
      <c r="M32" s="178">
        <f t="shared" si="3"/>
        <v>58.612631578947365</v>
      </c>
      <c r="N32" s="175"/>
      <c r="O32" s="176">
        <v>23</v>
      </c>
      <c r="P32" s="177">
        <v>318.82000000000005</v>
      </c>
      <c r="Q32" s="177">
        <f t="shared" si="5"/>
        <v>13.861739130434785</v>
      </c>
      <c r="R32" s="176">
        <v>128</v>
      </c>
      <c r="S32" s="177">
        <v>893.48</v>
      </c>
      <c r="T32" s="197">
        <f t="shared" si="4"/>
        <v>6.9803125000000001</v>
      </c>
      <c r="U32" s="175"/>
      <c r="V32" s="176"/>
      <c r="W32" s="176"/>
      <c r="X32" s="176"/>
      <c r="Y32" s="176"/>
      <c r="Z32" s="179"/>
      <c r="AA32" s="198">
        <v>106</v>
      </c>
      <c r="AB32" s="104">
        <v>1193.67</v>
      </c>
      <c r="AC32" s="172">
        <f t="shared" si="6"/>
        <v>11.261037735849058</v>
      </c>
      <c r="AD32" s="199">
        <f t="shared" si="0"/>
        <v>28549.079999999994</v>
      </c>
    </row>
    <row r="33" spans="1:30" x14ac:dyDescent="0.25">
      <c r="A33" s="163">
        <v>45989</v>
      </c>
      <c r="B33" s="175">
        <v>85</v>
      </c>
      <c r="C33" s="176">
        <v>95</v>
      </c>
      <c r="D33" s="176">
        <v>85</v>
      </c>
      <c r="E33" s="176"/>
      <c r="F33" s="165">
        <v>361</v>
      </c>
      <c r="G33" s="185"/>
      <c r="H33" s="165">
        <f>B33*0.2+SUM(C33:F33)*0.4</f>
        <v>233.4</v>
      </c>
      <c r="I33" s="187">
        <v>14954.529999999997</v>
      </c>
      <c r="J33" s="181">
        <f t="shared" si="2"/>
        <v>64.072536418166223</v>
      </c>
      <c r="K33" s="175">
        <v>38</v>
      </c>
      <c r="L33" s="177">
        <f>1733.23+700</f>
        <v>2433.23</v>
      </c>
      <c r="M33" s="178">
        <f t="shared" si="3"/>
        <v>64.032368421052638</v>
      </c>
      <c r="N33" s="184"/>
      <c r="O33" s="185">
        <v>7</v>
      </c>
      <c r="P33" s="187">
        <v>97.72</v>
      </c>
      <c r="Q33" s="177">
        <f t="shared" si="5"/>
        <v>13.959999999999999</v>
      </c>
      <c r="R33" s="176">
        <v>2</v>
      </c>
      <c r="S33" s="187">
        <v>13.98</v>
      </c>
      <c r="T33" s="197">
        <f t="shared" si="4"/>
        <v>6.99</v>
      </c>
      <c r="U33" s="184"/>
      <c r="V33" s="185"/>
      <c r="W33" s="185"/>
      <c r="X33" s="185"/>
      <c r="Y33" s="185"/>
      <c r="Z33" s="188"/>
      <c r="AA33" s="198">
        <v>106</v>
      </c>
      <c r="AB33" s="190">
        <v>1121.44</v>
      </c>
      <c r="AC33" s="172">
        <f t="shared" si="6"/>
        <v>10.579622641509435</v>
      </c>
      <c r="AD33" s="199">
        <f t="shared" si="0"/>
        <v>18620.899999999998</v>
      </c>
    </row>
    <row r="34" spans="1:30" x14ac:dyDescent="0.25">
      <c r="A34" s="163">
        <v>45990</v>
      </c>
      <c r="B34" s="175">
        <v>85</v>
      </c>
      <c r="C34" s="176">
        <v>95</v>
      </c>
      <c r="D34" s="176">
        <v>85</v>
      </c>
      <c r="E34" s="176"/>
      <c r="F34" s="165">
        <v>361</v>
      </c>
      <c r="G34" s="185"/>
      <c r="H34" s="165">
        <f>B34*0.2+SUM(C34:F34)*0.4</f>
        <v>233.4</v>
      </c>
      <c r="I34" s="187">
        <v>23116.309550000002</v>
      </c>
      <c r="J34" s="181">
        <f t="shared" si="2"/>
        <v>99.041600471293918</v>
      </c>
      <c r="K34" s="175">
        <v>42</v>
      </c>
      <c r="L34" s="187">
        <f>1650+700</f>
        <v>2350</v>
      </c>
      <c r="M34" s="178">
        <f t="shared" si="3"/>
        <v>55.952380952380949</v>
      </c>
      <c r="N34" s="184"/>
      <c r="O34" s="185">
        <v>7</v>
      </c>
      <c r="P34" s="187">
        <v>99.800000000000011</v>
      </c>
      <c r="Q34" s="177">
        <f t="shared" si="5"/>
        <v>14.257142857142858</v>
      </c>
      <c r="R34" s="176">
        <v>2</v>
      </c>
      <c r="S34" s="187">
        <v>11.95</v>
      </c>
      <c r="T34" s="197">
        <f t="shared" si="4"/>
        <v>5.9749999999999996</v>
      </c>
      <c r="U34" s="184"/>
      <c r="V34" s="185"/>
      <c r="W34" s="185"/>
      <c r="X34" s="185"/>
      <c r="Y34" s="185"/>
      <c r="Z34" s="188"/>
      <c r="AA34" s="198">
        <v>106</v>
      </c>
      <c r="AB34" s="190">
        <v>1124.02</v>
      </c>
      <c r="AC34" s="172">
        <f t="shared" si="6"/>
        <v>10.603962264150944</v>
      </c>
      <c r="AD34" s="199">
        <f t="shared" si="0"/>
        <v>26702.079550000002</v>
      </c>
    </row>
    <row r="35" spans="1:30" x14ac:dyDescent="0.25">
      <c r="A35" s="163">
        <v>45991</v>
      </c>
      <c r="B35" s="175">
        <v>200</v>
      </c>
      <c r="C35" s="176">
        <v>210</v>
      </c>
      <c r="D35" s="185">
        <v>239</v>
      </c>
      <c r="E35" s="176"/>
      <c r="F35" s="165">
        <v>410</v>
      </c>
      <c r="G35" s="185"/>
      <c r="H35" s="165">
        <f>B35*0.2+SUM(C35:F35)*0.4</f>
        <v>383.6</v>
      </c>
      <c r="I35" s="187">
        <v>33585.08</v>
      </c>
      <c r="J35" s="181">
        <f t="shared" si="2"/>
        <v>87.552346193952033</v>
      </c>
      <c r="K35" s="175">
        <v>42</v>
      </c>
      <c r="L35" s="187">
        <f>2161.85+700</f>
        <v>2861.85</v>
      </c>
      <c r="M35" s="178">
        <f t="shared" si="3"/>
        <v>68.139285714285705</v>
      </c>
      <c r="N35" s="184"/>
      <c r="O35" s="185">
        <v>72</v>
      </c>
      <c r="P35" s="187">
        <v>984.61160000000007</v>
      </c>
      <c r="Q35" s="177">
        <f t="shared" si="5"/>
        <v>13.675161111111112</v>
      </c>
      <c r="R35" s="176">
        <v>458</v>
      </c>
      <c r="S35" s="187">
        <v>3197.6100000000006</v>
      </c>
      <c r="T35" s="197">
        <f t="shared" si="4"/>
        <v>6.981681222707425</v>
      </c>
      <c r="U35" s="184"/>
      <c r="V35" s="185"/>
      <c r="W35" s="185"/>
      <c r="X35" s="185"/>
      <c r="Y35" s="185"/>
      <c r="Z35" s="188"/>
      <c r="AA35" s="198">
        <v>106</v>
      </c>
      <c r="AB35" s="190">
        <v>1474.79</v>
      </c>
      <c r="AC35" s="172">
        <f t="shared" si="6"/>
        <v>13.91311320754717</v>
      </c>
      <c r="AD35" s="199">
        <f t="shared" si="0"/>
        <v>42103.941599999998</v>
      </c>
    </row>
    <row r="36" spans="1:30" ht="15.75" thickBot="1" x14ac:dyDescent="0.3">
      <c r="A36" s="163"/>
      <c r="B36" s="175"/>
      <c r="C36" s="176"/>
      <c r="D36" s="185"/>
      <c r="E36" s="176"/>
      <c r="F36" s="165"/>
      <c r="G36" s="185"/>
      <c r="H36" s="165">
        <f>B36*0.2+SUM(C36:F36)*0.4</f>
        <v>0</v>
      </c>
      <c r="I36" s="187"/>
      <c r="J36" s="181" t="e">
        <f t="shared" si="2"/>
        <v>#DIV/0!</v>
      </c>
      <c r="K36" s="175"/>
      <c r="L36" s="187"/>
      <c r="M36" s="178" t="e">
        <f t="shared" si="3"/>
        <v>#DIV/0!</v>
      </c>
      <c r="N36" s="184"/>
      <c r="O36" s="185"/>
      <c r="P36" s="187"/>
      <c r="Q36" s="177" t="e">
        <f t="shared" si="5"/>
        <v>#DIV/0!</v>
      </c>
      <c r="R36" s="176"/>
      <c r="S36" s="187"/>
      <c r="T36" s="197" t="e">
        <f t="shared" si="4"/>
        <v>#DIV/0!</v>
      </c>
      <c r="U36" s="184"/>
      <c r="V36" s="185"/>
      <c r="W36" s="185"/>
      <c r="X36" s="185"/>
      <c r="Y36" s="185"/>
      <c r="Z36" s="188"/>
      <c r="AA36" s="198"/>
      <c r="AB36" s="190"/>
      <c r="AC36" s="172" t="e">
        <f t="shared" si="6"/>
        <v>#DIV/0!</v>
      </c>
      <c r="AD36" s="199">
        <f t="shared" si="0"/>
        <v>0</v>
      </c>
    </row>
    <row r="37" spans="1:30" ht="26.25" thickBot="1" x14ac:dyDescent="0.3">
      <c r="A37" s="202" t="s">
        <v>77</v>
      </c>
      <c r="B37" s="195">
        <f t="shared" ref="B37:I37" si="7">SUM(B6:B36)</f>
        <v>4965</v>
      </c>
      <c r="C37" s="195">
        <f t="shared" si="7"/>
        <v>5265</v>
      </c>
      <c r="D37" s="195">
        <f t="shared" si="7"/>
        <v>5238</v>
      </c>
      <c r="E37" s="195">
        <f t="shared" si="7"/>
        <v>0</v>
      </c>
      <c r="F37" s="195">
        <f t="shared" si="7"/>
        <v>11455</v>
      </c>
      <c r="G37" s="195">
        <f t="shared" si="7"/>
        <v>40</v>
      </c>
      <c r="H37" s="195">
        <f t="shared" si="7"/>
        <v>9792.2000000000007</v>
      </c>
      <c r="I37" s="195">
        <f t="shared" si="7"/>
        <v>864639.73587999982</v>
      </c>
      <c r="J37" s="195">
        <f>I37/H37</f>
        <v>88.298823132697422</v>
      </c>
      <c r="K37" s="195">
        <f>SUM(K6:K36)</f>
        <v>1244</v>
      </c>
      <c r="L37" s="195">
        <f>SUM(L6:L36)</f>
        <v>73415.705499999996</v>
      </c>
      <c r="M37" s="195">
        <f>L37/K37</f>
        <v>59.0158404340836</v>
      </c>
      <c r="N37" s="195">
        <f>SUM(N6:N36)</f>
        <v>0</v>
      </c>
      <c r="O37" s="195">
        <f>SUM(O6:O36)</f>
        <v>834</v>
      </c>
      <c r="P37" s="195">
        <f>SUM(P6:P36)</f>
        <v>11703.941599999996</v>
      </c>
      <c r="Q37" s="195"/>
      <c r="R37" s="195">
        <f t="shared" ref="R37:AB37" si="8">SUM(R6:R36)</f>
        <v>3294</v>
      </c>
      <c r="S37" s="195">
        <f t="shared" si="8"/>
        <v>23006.47</v>
      </c>
      <c r="T37" s="195" t="e">
        <f t="shared" si="8"/>
        <v>#DIV/0!</v>
      </c>
      <c r="U37" s="195">
        <f t="shared" si="8"/>
        <v>0</v>
      </c>
      <c r="V37" s="195">
        <f t="shared" si="8"/>
        <v>0</v>
      </c>
      <c r="W37" s="195">
        <f t="shared" si="8"/>
        <v>0</v>
      </c>
      <c r="X37" s="195">
        <f t="shared" si="8"/>
        <v>0</v>
      </c>
      <c r="Y37" s="195">
        <f t="shared" si="8"/>
        <v>0</v>
      </c>
      <c r="Z37" s="195" t="e">
        <f t="shared" si="8"/>
        <v>#DIV/0!</v>
      </c>
      <c r="AA37" s="195">
        <f t="shared" si="8"/>
        <v>3180</v>
      </c>
      <c r="AB37" s="195">
        <f t="shared" si="8"/>
        <v>35752.927499999991</v>
      </c>
      <c r="AC37" s="195">
        <f>AB37/AA37</f>
        <v>11.243058962264149</v>
      </c>
      <c r="AD37" s="203">
        <f>SUM(AD6:AD36)</f>
        <v>1008518.7804799998</v>
      </c>
    </row>
  </sheetData>
  <sheetProtection algorithmName="SHA-512" hashValue="QIDQN6KBzkSVnFMY9V8MJbNfADmKVRSvUyijFSOuazIF7kSlyJhj5UzD3XPa8cRq7ktGggmUfcpweMAfXwNUWw==" saltValue="ph728qTGInDuOF/kBG4iWw==" spinCount="100000" sheet="1" scenarios="1" sort="0" autoFilter="0"/>
  <mergeCells count="8">
    <mergeCell ref="A1:AD1"/>
    <mergeCell ref="A2:AD2"/>
    <mergeCell ref="A3:AD3"/>
    <mergeCell ref="B4:J4"/>
    <mergeCell ref="K4:M4"/>
    <mergeCell ref="N4:T4"/>
    <mergeCell ref="U4:Z4"/>
    <mergeCell ref="AA4:AC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63E3-6C0C-4FE2-BD5A-BABD515682B5}">
  <dimension ref="A1:AN37"/>
  <sheetViews>
    <sheetView topLeftCell="G1" zoomScale="80" zoomScaleNormal="80" workbookViewId="0">
      <selection activeCell="AJ41" sqref="AJ41"/>
    </sheetView>
  </sheetViews>
  <sheetFormatPr defaultRowHeight="15" x14ac:dyDescent="0.25"/>
  <cols>
    <col min="1" max="1" width="11.5703125" bestFit="1" customWidth="1"/>
    <col min="2" max="4" width="10" bestFit="1" customWidth="1"/>
    <col min="5" max="5" width="9.42578125" bestFit="1" customWidth="1"/>
    <col min="6" max="6" width="10.85546875" customWidth="1"/>
    <col min="7" max="7" width="9.42578125" bestFit="1" customWidth="1"/>
    <col min="8" max="8" width="11.28515625" bestFit="1" customWidth="1"/>
    <col min="9" max="9" width="13.5703125" customWidth="1"/>
    <col min="10" max="10" width="12" bestFit="1" customWidth="1"/>
    <col min="11" max="11" width="11.28515625" customWidth="1"/>
    <col min="12" max="12" width="11.28515625" bestFit="1" customWidth="1"/>
    <col min="13" max="14" width="11.28515625" customWidth="1"/>
    <col min="15" max="15" width="12" bestFit="1" customWidth="1"/>
    <col min="16" max="16" width="9.5703125" customWidth="1"/>
    <col min="17" max="17" width="11" customWidth="1"/>
    <col min="18" max="18" width="9.5703125" customWidth="1"/>
    <col min="19" max="19" width="10.140625" bestFit="1" customWidth="1"/>
    <col min="20" max="20" width="11.42578125" customWidth="1"/>
    <col min="21" max="21" width="8.42578125" bestFit="1" customWidth="1"/>
    <col min="22" max="22" width="10" bestFit="1" customWidth="1"/>
    <col min="23" max="23" width="12" bestFit="1" customWidth="1"/>
    <col min="24" max="24" width="10.42578125" style="39" customWidth="1"/>
    <col min="25" max="25" width="12.140625" customWidth="1"/>
    <col min="26" max="26" width="10.42578125" customWidth="1"/>
    <col min="27" max="27" width="11.42578125" customWidth="1"/>
    <col min="28" max="29" width="10.42578125" customWidth="1"/>
    <col min="30" max="32" width="9.5703125" customWidth="1"/>
    <col min="33" max="33" width="13.85546875" style="2" bestFit="1" customWidth="1"/>
    <col min="34" max="34" width="12.28515625" customWidth="1"/>
    <col min="36" max="36" width="13.85546875" style="2" bestFit="1" customWidth="1"/>
    <col min="37" max="37" width="11.140625" bestFit="1" customWidth="1"/>
    <col min="38" max="38" width="11.140625" customWidth="1"/>
    <col min="39" max="39" width="11.28515625" customWidth="1"/>
    <col min="40" max="40" width="9.5703125" bestFit="1" customWidth="1"/>
  </cols>
  <sheetData>
    <row r="1" spans="1:40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40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40" ht="21.75" thickBot="1" x14ac:dyDescent="0.4">
      <c r="A3" s="308" t="s">
        <v>88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40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5"/>
      <c r="N4" s="315"/>
      <c r="O4" s="318"/>
      <c r="P4" s="314" t="s">
        <v>65</v>
      </c>
      <c r="Q4" s="315"/>
      <c r="R4" s="315"/>
      <c r="S4" s="315"/>
      <c r="T4" s="315"/>
      <c r="U4" s="315"/>
      <c r="V4" s="315"/>
      <c r="W4" s="315"/>
      <c r="X4" s="318"/>
      <c r="Y4" s="378"/>
      <c r="Z4" s="379"/>
      <c r="AA4" s="379"/>
      <c r="AB4" s="379"/>
      <c r="AC4" s="379"/>
      <c r="AD4" s="380"/>
      <c r="AE4" s="209"/>
      <c r="AF4" s="209"/>
      <c r="AG4" s="320" t="s">
        <v>67</v>
      </c>
      <c r="AH4" s="321"/>
      <c r="AI4" s="322"/>
      <c r="AJ4" s="144" t="s">
        <v>68</v>
      </c>
    </row>
    <row r="5" spans="1:40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8" t="s">
        <v>89</v>
      </c>
      <c r="M5" s="210" t="s">
        <v>90</v>
      </c>
      <c r="N5" s="211" t="s">
        <v>91</v>
      </c>
      <c r="O5" s="150" t="s">
        <v>70</v>
      </c>
      <c r="P5" s="212" t="s">
        <v>92</v>
      </c>
      <c r="Q5" s="212" t="s">
        <v>93</v>
      </c>
      <c r="R5" s="213" t="s">
        <v>94</v>
      </c>
      <c r="S5" s="152" t="s">
        <v>72</v>
      </c>
      <c r="T5" s="152" t="s">
        <v>73</v>
      </c>
      <c r="U5" s="152" t="s">
        <v>79</v>
      </c>
      <c r="V5" s="153" t="s">
        <v>21</v>
      </c>
      <c r="W5" s="153" t="s">
        <v>74</v>
      </c>
      <c r="X5" s="154" t="s">
        <v>16</v>
      </c>
      <c r="Y5" s="214" t="s">
        <v>95</v>
      </c>
      <c r="Z5" s="157" t="s">
        <v>96</v>
      </c>
      <c r="AA5" s="157" t="s">
        <v>97</v>
      </c>
      <c r="AB5" s="157" t="s">
        <v>98</v>
      </c>
      <c r="AC5" s="157" t="s">
        <v>99</v>
      </c>
      <c r="AD5" s="215" t="s">
        <v>100</v>
      </c>
      <c r="AE5" s="216" t="s">
        <v>101</v>
      </c>
      <c r="AF5" s="217" t="s">
        <v>102</v>
      </c>
      <c r="AG5" s="218" t="s">
        <v>75</v>
      </c>
      <c r="AH5" s="219" t="s">
        <v>30</v>
      </c>
      <c r="AI5" s="162" t="s">
        <v>76</v>
      </c>
      <c r="AJ5" s="144" t="s">
        <v>68</v>
      </c>
    </row>
    <row r="6" spans="1:40" x14ac:dyDescent="0.25">
      <c r="A6" s="163">
        <v>45992</v>
      </c>
      <c r="B6" s="164">
        <v>200</v>
      </c>
      <c r="C6" s="165">
        <v>210</v>
      </c>
      <c r="D6" s="165">
        <v>205</v>
      </c>
      <c r="E6" s="165"/>
      <c r="F6" s="165">
        <v>391</v>
      </c>
      <c r="G6" s="165"/>
      <c r="H6" s="165">
        <f>B6*0.2+SUM(C6:F6)*0.4</f>
        <v>362.40000000000003</v>
      </c>
      <c r="I6" s="220">
        <v>32619.429999999997</v>
      </c>
      <c r="J6" s="166">
        <f>I6/H6</f>
        <v>90.009464679911687</v>
      </c>
      <c r="K6" s="164">
        <v>40</v>
      </c>
      <c r="L6" s="177">
        <v>1809.36</v>
      </c>
      <c r="M6" s="221">
        <v>665.9</v>
      </c>
      <c r="N6" s="221">
        <f>+M6+L6</f>
        <v>2475.2599999999998</v>
      </c>
      <c r="O6" s="168">
        <f>+N6/K6</f>
        <v>61.881499999999996</v>
      </c>
      <c r="P6" s="164"/>
      <c r="Q6" s="222"/>
      <c r="R6" s="222" t="e">
        <f>+Q6/P6</f>
        <v>#DIV/0!</v>
      </c>
      <c r="S6" s="165">
        <v>42</v>
      </c>
      <c r="T6" s="223">
        <v>618.75</v>
      </c>
      <c r="U6" s="177">
        <f>T6/S6</f>
        <v>14.732142857142858</v>
      </c>
      <c r="V6" s="165">
        <v>128</v>
      </c>
      <c r="W6" s="220">
        <v>1163.7000000000003</v>
      </c>
      <c r="X6" s="197">
        <f>W6/V6</f>
        <v>9.0914062500000021</v>
      </c>
      <c r="Y6" s="224">
        <v>468.14000000000004</v>
      </c>
      <c r="Z6" s="165">
        <f t="shared" ref="Z6:Z36" si="0">+Y6/(H6+K6)</f>
        <v>1.1633697813121273</v>
      </c>
      <c r="AA6" s="225">
        <v>3065.1400000000003</v>
      </c>
      <c r="AB6" s="165">
        <f t="shared" ref="AB6:AB37" si="1">+AA6/H6</f>
        <v>8.4578918322295813</v>
      </c>
      <c r="AC6" s="225"/>
      <c r="AD6" s="226">
        <f>AC6/AB6</f>
        <v>0</v>
      </c>
      <c r="AE6" s="176"/>
      <c r="AF6" s="176"/>
      <c r="AG6" s="227">
        <v>106</v>
      </c>
      <c r="AH6" s="228">
        <v>1281.3699999999999</v>
      </c>
      <c r="AI6" s="172">
        <f>AH6/AG6</f>
        <v>12.088396226415094</v>
      </c>
      <c r="AJ6" s="199">
        <f t="shared" ref="AJ6:AJ36" si="2">+I6+L6+Q6+T6+W6+Y6+AA6+AC6+AD6+AE6+AF6+AH6</f>
        <v>41025.889999999992</v>
      </c>
      <c r="AL6" s="229"/>
      <c r="AM6" s="230"/>
    </row>
    <row r="7" spans="1:40" x14ac:dyDescent="0.25">
      <c r="A7" s="163">
        <v>45993</v>
      </c>
      <c r="B7" s="164">
        <v>200</v>
      </c>
      <c r="C7" s="165">
        <v>210</v>
      </c>
      <c r="D7" s="165">
        <v>217</v>
      </c>
      <c r="E7" s="176"/>
      <c r="F7" s="165">
        <v>403</v>
      </c>
      <c r="G7" s="176"/>
      <c r="H7" s="165">
        <f t="shared" ref="H7:H32" si="3">B7*0.2+SUM(C7:F7)*0.4</f>
        <v>372</v>
      </c>
      <c r="I7" s="208">
        <v>28066.840000000004</v>
      </c>
      <c r="J7" s="166">
        <f t="shared" ref="J7:J36" si="4">I7/H7</f>
        <v>75.448494623655918</v>
      </c>
      <c r="K7" s="175">
        <v>38</v>
      </c>
      <c r="L7" s="177">
        <v>1729.5000000000005</v>
      </c>
      <c r="M7" s="221">
        <v>617.66</v>
      </c>
      <c r="N7" s="221">
        <f t="shared" ref="N7:N36" si="5">+M7+L7</f>
        <v>2347.1600000000003</v>
      </c>
      <c r="O7" s="168">
        <f t="shared" ref="O7:O36" si="6">+N7/K7</f>
        <v>61.767368421052637</v>
      </c>
      <c r="P7" s="175"/>
      <c r="Q7" s="222"/>
      <c r="R7" s="222" t="e">
        <f t="shared" ref="R7:R36" si="7">+Q7/P7</f>
        <v>#DIV/0!</v>
      </c>
      <c r="S7" s="165">
        <v>53</v>
      </c>
      <c r="T7" s="231">
        <v>782.06</v>
      </c>
      <c r="U7" s="177">
        <f>T7/S7</f>
        <v>14.755849056603772</v>
      </c>
      <c r="V7" s="165">
        <v>118</v>
      </c>
      <c r="W7" s="232">
        <v>817.06000000000006</v>
      </c>
      <c r="X7" s="197">
        <f t="shared" ref="X7:X36" si="8">W7/V7</f>
        <v>6.9242372881355934</v>
      </c>
      <c r="Y7" s="233">
        <v>802</v>
      </c>
      <c r="Z7" s="165">
        <f t="shared" si="0"/>
        <v>1.9560975609756097</v>
      </c>
      <c r="AA7" s="234">
        <v>2110</v>
      </c>
      <c r="AB7" s="165">
        <f t="shared" si="1"/>
        <v>5.672043010752688</v>
      </c>
      <c r="AC7" s="234">
        <v>846.76</v>
      </c>
      <c r="AD7" s="235"/>
      <c r="AE7" s="176"/>
      <c r="AF7" s="176"/>
      <c r="AG7" s="227">
        <v>106</v>
      </c>
      <c r="AH7" s="236">
        <v>1307.57</v>
      </c>
      <c r="AI7" s="172">
        <f>AH7/AG7</f>
        <v>12.335566037735848</v>
      </c>
      <c r="AJ7" s="199">
        <f t="shared" si="2"/>
        <v>36461.790000000008</v>
      </c>
      <c r="AL7" s="237"/>
      <c r="AM7" s="230"/>
    </row>
    <row r="8" spans="1:40" x14ac:dyDescent="0.25">
      <c r="A8" s="163">
        <v>45994</v>
      </c>
      <c r="B8" s="164">
        <v>200</v>
      </c>
      <c r="C8" s="165">
        <v>210</v>
      </c>
      <c r="D8" s="165">
        <v>205</v>
      </c>
      <c r="E8" s="176"/>
      <c r="F8" s="165">
        <v>395</v>
      </c>
      <c r="G8" s="176"/>
      <c r="H8" s="165">
        <f t="shared" si="3"/>
        <v>364</v>
      </c>
      <c r="I8" s="208">
        <v>25017.439109999996</v>
      </c>
      <c r="J8" s="166">
        <f t="shared" si="4"/>
        <v>68.729228324175807</v>
      </c>
      <c r="K8" s="175">
        <v>39</v>
      </c>
      <c r="L8" s="177">
        <v>1673.635</v>
      </c>
      <c r="M8" s="221">
        <v>560.4</v>
      </c>
      <c r="N8" s="221">
        <f t="shared" si="5"/>
        <v>2234.0349999999999</v>
      </c>
      <c r="O8" s="168">
        <f t="shared" si="6"/>
        <v>57.282948717948713</v>
      </c>
      <c r="P8" s="175"/>
      <c r="Q8" s="222"/>
      <c r="R8" s="222" t="e">
        <f t="shared" si="7"/>
        <v>#DIV/0!</v>
      </c>
      <c r="S8" s="165">
        <v>41</v>
      </c>
      <c r="T8" s="208">
        <v>264.98</v>
      </c>
      <c r="U8" s="177">
        <f>T8/S8</f>
        <v>6.4629268292682935</v>
      </c>
      <c r="V8" s="176">
        <v>123</v>
      </c>
      <c r="W8" s="232">
        <v>935.0200000000001</v>
      </c>
      <c r="X8" s="197">
        <f t="shared" si="8"/>
        <v>7.6017886178861795</v>
      </c>
      <c r="Y8" s="233">
        <v>682</v>
      </c>
      <c r="Z8" s="165">
        <f t="shared" si="0"/>
        <v>1.6923076923076923</v>
      </c>
      <c r="AA8" s="234">
        <v>2965.86</v>
      </c>
      <c r="AB8" s="165">
        <f t="shared" si="1"/>
        <v>8.1479670329670331</v>
      </c>
      <c r="AC8" s="234"/>
      <c r="AD8" s="235"/>
      <c r="AE8" s="176"/>
      <c r="AF8" s="176"/>
      <c r="AG8" s="227">
        <v>106</v>
      </c>
      <c r="AH8" s="228">
        <v>1284.2400000000002</v>
      </c>
      <c r="AI8" s="172">
        <f>AH8/AG8</f>
        <v>12.115471698113209</v>
      </c>
      <c r="AJ8" s="199">
        <f t="shared" si="2"/>
        <v>32823.174109999993</v>
      </c>
      <c r="AL8" s="229"/>
      <c r="AM8" s="230"/>
    </row>
    <row r="9" spans="1:40" x14ac:dyDescent="0.25">
      <c r="A9" s="163">
        <v>45995</v>
      </c>
      <c r="B9" s="164">
        <v>200</v>
      </c>
      <c r="C9" s="165">
        <v>210</v>
      </c>
      <c r="D9" s="165">
        <v>205</v>
      </c>
      <c r="E9" s="176"/>
      <c r="F9" s="165">
        <v>398</v>
      </c>
      <c r="G9" s="176"/>
      <c r="H9" s="165">
        <f t="shared" si="3"/>
        <v>365.20000000000005</v>
      </c>
      <c r="I9" s="208">
        <v>26721.484999999997</v>
      </c>
      <c r="J9" s="181">
        <f t="shared" si="4"/>
        <v>73.169455093099657</v>
      </c>
      <c r="K9" s="175">
        <v>39</v>
      </c>
      <c r="L9" s="205">
        <v>1654.33</v>
      </c>
      <c r="M9" s="238">
        <v>632.59</v>
      </c>
      <c r="N9" s="221">
        <f t="shared" si="5"/>
        <v>2286.92</v>
      </c>
      <c r="O9" s="168">
        <f t="shared" si="6"/>
        <v>58.638974358974359</v>
      </c>
      <c r="P9" s="175"/>
      <c r="Q9" s="222"/>
      <c r="R9" s="222" t="e">
        <f t="shared" si="7"/>
        <v>#DIV/0!</v>
      </c>
      <c r="S9" s="165">
        <v>14</v>
      </c>
      <c r="T9" s="208">
        <v>976.99</v>
      </c>
      <c r="U9" s="177">
        <f t="shared" ref="U9:U36" si="9">T9/S9</f>
        <v>69.784999999999997</v>
      </c>
      <c r="V9" s="176">
        <v>128</v>
      </c>
      <c r="W9" s="232">
        <v>349.69000000000005</v>
      </c>
      <c r="X9" s="197">
        <f t="shared" si="8"/>
        <v>2.7319531250000004</v>
      </c>
      <c r="Y9" s="233"/>
      <c r="Z9" s="165">
        <f t="shared" si="0"/>
        <v>0</v>
      </c>
      <c r="AA9" s="234">
        <v>2664.65</v>
      </c>
      <c r="AB9" s="165">
        <f t="shared" si="1"/>
        <v>7.2964129244249722</v>
      </c>
      <c r="AC9" s="234">
        <v>266.14</v>
      </c>
      <c r="AD9" s="235"/>
      <c r="AE9" s="176">
        <v>4377.95</v>
      </c>
      <c r="AF9" s="176"/>
      <c r="AG9" s="227">
        <v>106</v>
      </c>
      <c r="AH9" s="236">
        <v>1279.44</v>
      </c>
      <c r="AI9" s="172">
        <f>AH9/AG9</f>
        <v>12.070188679245284</v>
      </c>
      <c r="AJ9" s="199">
        <f t="shared" si="2"/>
        <v>38290.674999999996</v>
      </c>
      <c r="AL9" s="237"/>
      <c r="AM9" s="230"/>
    </row>
    <row r="10" spans="1:40" x14ac:dyDescent="0.25">
      <c r="A10" s="163">
        <v>45996</v>
      </c>
      <c r="B10" s="164">
        <v>85</v>
      </c>
      <c r="C10" s="165">
        <v>95</v>
      </c>
      <c r="D10" s="165">
        <v>85</v>
      </c>
      <c r="E10" s="176"/>
      <c r="F10" s="165">
        <v>357</v>
      </c>
      <c r="G10" s="176"/>
      <c r="H10" s="165">
        <f>B10*0.2+SUM(C10:F10)*0.4+G10*40%</f>
        <v>231.8</v>
      </c>
      <c r="I10" s="208">
        <v>22725.150000000005</v>
      </c>
      <c r="J10" s="181">
        <f t="shared" si="4"/>
        <v>98.037748058671284</v>
      </c>
      <c r="K10" s="175">
        <v>36</v>
      </c>
      <c r="L10" s="177">
        <v>1592.3500000000004</v>
      </c>
      <c r="M10" s="221">
        <v>549.30999999999995</v>
      </c>
      <c r="N10" s="221">
        <f t="shared" si="5"/>
        <v>2141.6600000000003</v>
      </c>
      <c r="O10" s="168">
        <f t="shared" si="6"/>
        <v>59.490555555555567</v>
      </c>
      <c r="P10" s="175"/>
      <c r="Q10" s="222"/>
      <c r="R10" s="222" t="e">
        <f t="shared" si="7"/>
        <v>#DIV/0!</v>
      </c>
      <c r="S10" s="165">
        <v>7</v>
      </c>
      <c r="T10" s="208">
        <v>97.65</v>
      </c>
      <c r="U10" s="177">
        <f t="shared" si="9"/>
        <v>13.950000000000001</v>
      </c>
      <c r="V10" s="176">
        <v>2</v>
      </c>
      <c r="W10" s="232">
        <v>15.05</v>
      </c>
      <c r="X10" s="197">
        <f t="shared" si="8"/>
        <v>7.5250000000000004</v>
      </c>
      <c r="Y10" s="233">
        <v>892</v>
      </c>
      <c r="Z10" s="165">
        <f t="shared" si="0"/>
        <v>3.3308439133681849</v>
      </c>
      <c r="AA10" s="234">
        <v>2165.54</v>
      </c>
      <c r="AB10" s="165">
        <f t="shared" si="1"/>
        <v>9.34227782571182</v>
      </c>
      <c r="AC10" s="234"/>
      <c r="AD10" s="235"/>
      <c r="AE10" s="176"/>
      <c r="AF10" s="176"/>
      <c r="AG10" s="227">
        <v>106</v>
      </c>
      <c r="AH10" s="228">
        <v>1258.83</v>
      </c>
      <c r="AI10" s="172">
        <f t="shared" ref="AI10:AI36" si="10">AH10/AG10</f>
        <v>11.875754716981131</v>
      </c>
      <c r="AJ10" s="199">
        <f t="shared" si="2"/>
        <v>28746.570000000007</v>
      </c>
      <c r="AL10" s="229"/>
      <c r="AM10" s="230"/>
    </row>
    <row r="11" spans="1:40" x14ac:dyDescent="0.25">
      <c r="A11" s="163">
        <v>45997</v>
      </c>
      <c r="B11" s="164">
        <v>85</v>
      </c>
      <c r="C11" s="165">
        <v>95</v>
      </c>
      <c r="D11" s="165">
        <v>85</v>
      </c>
      <c r="E11" s="176"/>
      <c r="F11" s="165">
        <v>359</v>
      </c>
      <c r="G11" s="176"/>
      <c r="H11" s="165">
        <f>B11*0.2+SUM(C11:D11:G11)*0.4</f>
        <v>232.60000000000002</v>
      </c>
      <c r="I11" s="208">
        <v>20486.793599999997</v>
      </c>
      <c r="J11" s="181">
        <f t="shared" si="4"/>
        <v>88.077358555459995</v>
      </c>
      <c r="K11" s="175">
        <v>36</v>
      </c>
      <c r="L11" s="177">
        <v>1774.4699999999998</v>
      </c>
      <c r="M11" s="221">
        <v>662.65</v>
      </c>
      <c r="N11" s="221">
        <f t="shared" si="5"/>
        <v>2437.12</v>
      </c>
      <c r="O11" s="168">
        <f t="shared" si="6"/>
        <v>67.697777777777773</v>
      </c>
      <c r="P11" s="175"/>
      <c r="Q11" s="222"/>
      <c r="R11" s="222" t="e">
        <f t="shared" si="7"/>
        <v>#DIV/0!</v>
      </c>
      <c r="S11" s="165">
        <v>7</v>
      </c>
      <c r="T11" s="208">
        <v>104.39999999999999</v>
      </c>
      <c r="U11" s="177">
        <f t="shared" si="9"/>
        <v>14.914285714285713</v>
      </c>
      <c r="V11" s="176">
        <v>2</v>
      </c>
      <c r="W11" s="232">
        <v>14.5</v>
      </c>
      <c r="X11" s="197">
        <f t="shared" si="8"/>
        <v>7.25</v>
      </c>
      <c r="Y11" s="233"/>
      <c r="Z11" s="165">
        <f t="shared" si="0"/>
        <v>0</v>
      </c>
      <c r="AA11" s="234">
        <v>2048.9199999999996</v>
      </c>
      <c r="AB11" s="165">
        <f t="shared" si="1"/>
        <v>8.8087704213241587</v>
      </c>
      <c r="AC11" s="234"/>
      <c r="AD11" s="235"/>
      <c r="AE11" s="176"/>
      <c r="AF11" s="176"/>
      <c r="AG11" s="227">
        <v>106</v>
      </c>
      <c r="AH11" s="236">
        <v>1260.07</v>
      </c>
      <c r="AI11" s="172">
        <f t="shared" si="10"/>
        <v>11.887452830188678</v>
      </c>
      <c r="AJ11" s="199">
        <f t="shared" si="2"/>
        <v>25689.153599999998</v>
      </c>
      <c r="AL11" s="237"/>
      <c r="AM11" s="230"/>
    </row>
    <row r="12" spans="1:40" x14ac:dyDescent="0.25">
      <c r="A12" s="163">
        <v>45998</v>
      </c>
      <c r="B12" s="164">
        <v>200</v>
      </c>
      <c r="C12" s="165">
        <v>210</v>
      </c>
      <c r="D12" s="165">
        <v>244</v>
      </c>
      <c r="E12" s="176"/>
      <c r="F12" s="165">
        <v>410</v>
      </c>
      <c r="G12" s="176"/>
      <c r="H12" s="165">
        <f>B12*0.2+SUM(C12:G12)*0.4</f>
        <v>385.6</v>
      </c>
      <c r="I12" s="208">
        <v>28633.63</v>
      </c>
      <c r="J12" s="181">
        <f t="shared" si="4"/>
        <v>74.257339211618259</v>
      </c>
      <c r="K12" s="175">
        <v>36</v>
      </c>
      <c r="L12" s="177">
        <v>1545.0500000000002</v>
      </c>
      <c r="M12" s="221">
        <v>540.03</v>
      </c>
      <c r="N12" s="221">
        <f t="shared" si="5"/>
        <v>2085.08</v>
      </c>
      <c r="O12" s="168">
        <f t="shared" si="6"/>
        <v>57.918888888888887</v>
      </c>
      <c r="P12" s="175"/>
      <c r="Q12" s="239"/>
      <c r="R12" s="222" t="e">
        <f t="shared" si="7"/>
        <v>#DIV/0!</v>
      </c>
      <c r="S12" s="176">
        <v>43</v>
      </c>
      <c r="T12" s="208">
        <v>578.25</v>
      </c>
      <c r="U12" s="177">
        <f t="shared" si="9"/>
        <v>13.447674418604651</v>
      </c>
      <c r="V12" s="176">
        <v>270</v>
      </c>
      <c r="W12" s="232">
        <v>1988.95</v>
      </c>
      <c r="X12" s="197">
        <f t="shared" si="8"/>
        <v>7.3664814814814816</v>
      </c>
      <c r="Y12" s="233">
        <v>603.94000000000005</v>
      </c>
      <c r="Z12" s="165">
        <f t="shared" si="0"/>
        <v>1.432495256166983</v>
      </c>
      <c r="AA12" s="234">
        <v>2127.4700000000003</v>
      </c>
      <c r="AB12" s="165">
        <f t="shared" si="1"/>
        <v>5.5172977178423244</v>
      </c>
      <c r="AC12" s="234">
        <v>200.92999999999998</v>
      </c>
      <c r="AD12" s="235"/>
      <c r="AE12" s="176"/>
      <c r="AF12" s="176"/>
      <c r="AG12" s="227">
        <v>106</v>
      </c>
      <c r="AH12" s="228">
        <v>1123.4099999999999</v>
      </c>
      <c r="AI12" s="172">
        <f t="shared" si="10"/>
        <v>10.59820754716981</v>
      </c>
      <c r="AJ12" s="199">
        <f t="shared" si="2"/>
        <v>36801.630000000005</v>
      </c>
      <c r="AM12" s="230"/>
    </row>
    <row r="13" spans="1:40" x14ac:dyDescent="0.25">
      <c r="A13" s="163">
        <v>45999</v>
      </c>
      <c r="B13" s="164">
        <v>200</v>
      </c>
      <c r="C13" s="165">
        <v>210</v>
      </c>
      <c r="D13" s="165">
        <v>221</v>
      </c>
      <c r="E13" s="176"/>
      <c r="F13" s="165">
        <v>408</v>
      </c>
      <c r="G13" s="176"/>
      <c r="H13" s="165">
        <f>B13*0.2+SUM(C13:D13:G13)*0.4</f>
        <v>375.6</v>
      </c>
      <c r="I13" s="208">
        <v>33264.963249999986</v>
      </c>
      <c r="J13" s="181">
        <f t="shared" si="4"/>
        <v>88.564864882854053</v>
      </c>
      <c r="K13" s="175">
        <v>39</v>
      </c>
      <c r="L13" s="208">
        <v>1804.45</v>
      </c>
      <c r="M13" s="221">
        <v>553.35</v>
      </c>
      <c r="N13" s="221">
        <f t="shared" si="5"/>
        <v>2357.8000000000002</v>
      </c>
      <c r="O13" s="168">
        <f t="shared" si="6"/>
        <v>60.456410256410258</v>
      </c>
      <c r="P13" s="175"/>
      <c r="Q13" s="239"/>
      <c r="R13" s="222" t="e">
        <f t="shared" si="7"/>
        <v>#DIV/0!</v>
      </c>
      <c r="S13" s="176">
        <v>43</v>
      </c>
      <c r="T13" s="208">
        <v>625.35</v>
      </c>
      <c r="U13" s="177">
        <f t="shared" si="9"/>
        <v>14.543023255813955</v>
      </c>
      <c r="V13" s="176">
        <v>128</v>
      </c>
      <c r="W13" s="232">
        <v>817.96999999999991</v>
      </c>
      <c r="X13" s="197">
        <f t="shared" si="8"/>
        <v>6.3903906249999993</v>
      </c>
      <c r="Y13" s="233"/>
      <c r="Z13" s="165">
        <f t="shared" si="0"/>
        <v>0</v>
      </c>
      <c r="AA13" s="234">
        <v>2689.8399999999997</v>
      </c>
      <c r="AB13" s="165">
        <f t="shared" si="1"/>
        <v>7.161448349307773</v>
      </c>
      <c r="AC13" s="234"/>
      <c r="AD13" s="235"/>
      <c r="AE13" s="176"/>
      <c r="AF13" s="176"/>
      <c r="AG13" s="227">
        <v>106</v>
      </c>
      <c r="AH13" s="240">
        <v>1250.4299999999998</v>
      </c>
      <c r="AI13" s="172">
        <f t="shared" si="10"/>
        <v>11.796509433962262</v>
      </c>
      <c r="AJ13" s="199">
        <f t="shared" si="2"/>
        <v>40453.00324999998</v>
      </c>
    </row>
    <row r="14" spans="1:40" x14ac:dyDescent="0.25">
      <c r="A14" s="163">
        <v>46000</v>
      </c>
      <c r="B14" s="164">
        <v>200</v>
      </c>
      <c r="C14" s="165">
        <v>210</v>
      </c>
      <c r="D14" s="176">
        <v>205</v>
      </c>
      <c r="E14" s="176"/>
      <c r="F14" s="165">
        <v>415</v>
      </c>
      <c r="G14" s="176"/>
      <c r="H14" s="165">
        <f t="shared" si="3"/>
        <v>372</v>
      </c>
      <c r="I14" s="208">
        <v>26963.551200000002</v>
      </c>
      <c r="J14" s="181">
        <f t="shared" si="4"/>
        <v>72.482664516129034</v>
      </c>
      <c r="K14" s="175">
        <v>40</v>
      </c>
      <c r="L14" s="177">
        <v>1939.5899999999997</v>
      </c>
      <c r="M14" s="221">
        <v>626.79999999999995</v>
      </c>
      <c r="N14" s="221">
        <f t="shared" si="5"/>
        <v>2566.3899999999994</v>
      </c>
      <c r="O14" s="168">
        <f t="shared" si="6"/>
        <v>64.159749999999988</v>
      </c>
      <c r="P14" s="175"/>
      <c r="Q14" s="239"/>
      <c r="R14" s="222" t="e">
        <f t="shared" si="7"/>
        <v>#DIV/0!</v>
      </c>
      <c r="S14" s="176">
        <v>51</v>
      </c>
      <c r="T14" s="208">
        <v>727.46000000000015</v>
      </c>
      <c r="U14" s="177">
        <f t="shared" si="9"/>
        <v>14.263921568627454</v>
      </c>
      <c r="V14" s="176">
        <v>118</v>
      </c>
      <c r="W14" s="208">
        <v>830.75000000000023</v>
      </c>
      <c r="X14" s="197">
        <f t="shared" si="8"/>
        <v>7.0402542372881376</v>
      </c>
      <c r="Y14" s="233">
        <v>767.64</v>
      </c>
      <c r="Z14" s="165">
        <f t="shared" si="0"/>
        <v>1.8632038834951457</v>
      </c>
      <c r="AA14" s="234">
        <v>2032.2799999999997</v>
      </c>
      <c r="AB14" s="165">
        <f t="shared" si="1"/>
        <v>5.4631182795698914</v>
      </c>
      <c r="AC14" s="234">
        <v>357.26</v>
      </c>
      <c r="AD14" s="235"/>
      <c r="AE14" s="176"/>
      <c r="AF14" s="176"/>
      <c r="AG14" s="227">
        <v>106</v>
      </c>
      <c r="AH14" s="236">
        <v>1127.79</v>
      </c>
      <c r="AI14" s="172">
        <f t="shared" si="10"/>
        <v>10.639528301886791</v>
      </c>
      <c r="AJ14" s="199">
        <f t="shared" si="2"/>
        <v>34746.321200000006</v>
      </c>
    </row>
    <row r="15" spans="1:40" x14ac:dyDescent="0.25">
      <c r="A15" s="163">
        <v>46001</v>
      </c>
      <c r="B15" s="164">
        <v>200</v>
      </c>
      <c r="C15" s="165">
        <v>210</v>
      </c>
      <c r="D15" s="176">
        <v>205</v>
      </c>
      <c r="E15" s="176"/>
      <c r="F15" s="165">
        <v>415</v>
      </c>
      <c r="G15" s="176"/>
      <c r="H15" s="165">
        <f t="shared" si="3"/>
        <v>372</v>
      </c>
      <c r="I15" s="208">
        <v>27562.620000000003</v>
      </c>
      <c r="J15" s="181">
        <f t="shared" si="4"/>
        <v>74.093064516129033</v>
      </c>
      <c r="K15" s="175">
        <v>39</v>
      </c>
      <c r="L15" s="177">
        <v>1917.89</v>
      </c>
      <c r="M15" s="221">
        <v>608.44000000000005</v>
      </c>
      <c r="N15" s="221">
        <f t="shared" si="5"/>
        <v>2526.33</v>
      </c>
      <c r="O15" s="168">
        <f t="shared" si="6"/>
        <v>64.777692307692305</v>
      </c>
      <c r="P15" s="175"/>
      <c r="Q15" s="239"/>
      <c r="R15" s="222" t="e">
        <f t="shared" si="7"/>
        <v>#DIV/0!</v>
      </c>
      <c r="S15" s="176">
        <v>10</v>
      </c>
      <c r="T15" s="208">
        <v>145</v>
      </c>
      <c r="U15" s="177">
        <f t="shared" si="9"/>
        <v>14.5</v>
      </c>
      <c r="V15" s="176">
        <v>35</v>
      </c>
      <c r="W15" s="208">
        <v>252.12000000000003</v>
      </c>
      <c r="X15" s="197">
        <f t="shared" si="8"/>
        <v>7.2034285714285726</v>
      </c>
      <c r="Y15" s="233"/>
      <c r="Z15" s="165">
        <f t="shared" si="0"/>
        <v>0</v>
      </c>
      <c r="AA15" s="234">
        <v>3614.7700000000004</v>
      </c>
      <c r="AB15" s="165">
        <f t="shared" si="1"/>
        <v>9.71712365591398</v>
      </c>
      <c r="AC15" s="234">
        <v>353.2</v>
      </c>
      <c r="AD15" s="235"/>
      <c r="AE15" s="176"/>
      <c r="AF15" s="176"/>
      <c r="AG15" s="227">
        <v>106</v>
      </c>
      <c r="AH15" s="228">
        <v>1133.5900000000001</v>
      </c>
      <c r="AI15" s="172">
        <f t="shared" si="10"/>
        <v>10.694245283018869</v>
      </c>
      <c r="AJ15" s="199">
        <f t="shared" si="2"/>
        <v>34979.19</v>
      </c>
      <c r="AL15" s="241"/>
      <c r="AM15" s="228"/>
      <c r="AN15" s="230"/>
    </row>
    <row r="16" spans="1:40" x14ac:dyDescent="0.25">
      <c r="A16" s="163">
        <v>46002</v>
      </c>
      <c r="B16" s="164">
        <v>200</v>
      </c>
      <c r="C16" s="165">
        <v>210</v>
      </c>
      <c r="D16" s="176">
        <v>205</v>
      </c>
      <c r="E16" s="176"/>
      <c r="F16" s="165">
        <v>398</v>
      </c>
      <c r="G16" s="176"/>
      <c r="H16" s="165">
        <f t="shared" si="3"/>
        <v>365.20000000000005</v>
      </c>
      <c r="I16" s="208">
        <v>22325.314999999995</v>
      </c>
      <c r="J16" s="181">
        <f t="shared" si="4"/>
        <v>61.131749726177418</v>
      </c>
      <c r="K16" s="175">
        <v>39</v>
      </c>
      <c r="L16" s="177">
        <v>1878.52</v>
      </c>
      <c r="M16" s="221">
        <v>575.36</v>
      </c>
      <c r="N16" s="221">
        <f t="shared" si="5"/>
        <v>2453.88</v>
      </c>
      <c r="O16" s="168">
        <f t="shared" si="6"/>
        <v>62.92</v>
      </c>
      <c r="P16" s="175"/>
      <c r="Q16" s="239"/>
      <c r="R16" s="222" t="e">
        <f t="shared" si="7"/>
        <v>#DIV/0!</v>
      </c>
      <c r="S16" s="176">
        <v>20</v>
      </c>
      <c r="T16" s="208">
        <v>289.40999999999997</v>
      </c>
      <c r="U16" s="177">
        <f t="shared" si="9"/>
        <v>14.470499999999998</v>
      </c>
      <c r="V16" s="176">
        <v>128</v>
      </c>
      <c r="W16" s="208">
        <v>884.37</v>
      </c>
      <c r="X16" s="197">
        <f t="shared" si="8"/>
        <v>6.909140625</v>
      </c>
      <c r="Y16" s="233">
        <v>792.4</v>
      </c>
      <c r="Z16" s="165">
        <f t="shared" si="0"/>
        <v>1.9604156358238494</v>
      </c>
      <c r="AA16" s="234">
        <v>2118.37</v>
      </c>
      <c r="AB16" s="165">
        <f t="shared" si="1"/>
        <v>5.8005750273822549</v>
      </c>
      <c r="AC16" s="234">
        <v>234.92000000000002</v>
      </c>
      <c r="AD16" s="235"/>
      <c r="AE16" s="176"/>
      <c r="AF16" s="176">
        <v>4140</v>
      </c>
      <c r="AG16" s="227">
        <v>106</v>
      </c>
      <c r="AH16" s="236">
        <v>1186.3999999999999</v>
      </c>
      <c r="AI16" s="172">
        <f t="shared" si="10"/>
        <v>11.192452830188678</v>
      </c>
      <c r="AJ16" s="199">
        <f t="shared" si="2"/>
        <v>33849.704999999994</v>
      </c>
    </row>
    <row r="17" spans="1:37" x14ac:dyDescent="0.25">
      <c r="A17" s="163">
        <v>46003</v>
      </c>
      <c r="B17" s="164">
        <v>85</v>
      </c>
      <c r="C17" s="165">
        <v>95</v>
      </c>
      <c r="D17" s="165">
        <v>85</v>
      </c>
      <c r="E17" s="176"/>
      <c r="F17" s="165">
        <v>355</v>
      </c>
      <c r="G17" s="176"/>
      <c r="H17" s="165">
        <f>B17*0.2+SUM(C17:G17)*0.4</f>
        <v>231</v>
      </c>
      <c r="I17" s="208">
        <v>19488.93</v>
      </c>
      <c r="J17" s="181">
        <f t="shared" si="4"/>
        <v>84.367662337662338</v>
      </c>
      <c r="K17" s="175">
        <v>40</v>
      </c>
      <c r="L17" s="177">
        <v>1451.3550000000002</v>
      </c>
      <c r="M17" s="221">
        <v>609.82000000000005</v>
      </c>
      <c r="N17" s="221">
        <f t="shared" si="5"/>
        <v>2061.1750000000002</v>
      </c>
      <c r="O17" s="168">
        <f t="shared" si="6"/>
        <v>51.529375000000002</v>
      </c>
      <c r="P17" s="175"/>
      <c r="Q17" s="239"/>
      <c r="R17" s="222" t="e">
        <f t="shared" si="7"/>
        <v>#DIV/0!</v>
      </c>
      <c r="S17" s="176">
        <v>7</v>
      </c>
      <c r="T17" s="208">
        <v>196.48768999999999</v>
      </c>
      <c r="U17" s="177">
        <f t="shared" si="9"/>
        <v>28.069669999999999</v>
      </c>
      <c r="V17" s="176">
        <v>2</v>
      </c>
      <c r="W17" s="208">
        <v>28</v>
      </c>
      <c r="X17" s="197">
        <f t="shared" si="8"/>
        <v>14</v>
      </c>
      <c r="Y17" s="233"/>
      <c r="Z17" s="165">
        <f t="shared" si="0"/>
        <v>0</v>
      </c>
      <c r="AA17" s="234">
        <v>2434.13</v>
      </c>
      <c r="AB17" s="165">
        <f t="shared" si="1"/>
        <v>10.537359307359308</v>
      </c>
      <c r="AC17" s="234"/>
      <c r="AD17" s="235"/>
      <c r="AE17" s="176">
        <v>705.33</v>
      </c>
      <c r="AF17" s="176"/>
      <c r="AG17" s="227">
        <v>106</v>
      </c>
      <c r="AH17" s="228">
        <v>1126.1799999999998</v>
      </c>
      <c r="AI17" s="172">
        <f t="shared" si="10"/>
        <v>10.624339622641507</v>
      </c>
      <c r="AJ17" s="199">
        <f t="shared" si="2"/>
        <v>25430.412690000005</v>
      </c>
    </row>
    <row r="18" spans="1:37" x14ac:dyDescent="0.25">
      <c r="A18" s="163">
        <v>46004</v>
      </c>
      <c r="B18" s="164">
        <v>85</v>
      </c>
      <c r="C18" s="165">
        <v>95</v>
      </c>
      <c r="D18" s="165">
        <v>85</v>
      </c>
      <c r="E18" s="176"/>
      <c r="F18" s="165">
        <v>357</v>
      </c>
      <c r="G18" s="176"/>
      <c r="H18" s="165">
        <f t="shared" si="3"/>
        <v>231.8</v>
      </c>
      <c r="I18" s="242">
        <v>22904.724999999995</v>
      </c>
      <c r="J18" s="181">
        <f t="shared" si="4"/>
        <v>98.812446074201873</v>
      </c>
      <c r="K18" s="175">
        <v>40</v>
      </c>
      <c r="L18" s="243">
        <v>1720.44</v>
      </c>
      <c r="M18" s="244">
        <v>588.97</v>
      </c>
      <c r="N18" s="221">
        <f t="shared" si="5"/>
        <v>2309.41</v>
      </c>
      <c r="O18" s="168">
        <f t="shared" si="6"/>
        <v>57.735249999999994</v>
      </c>
      <c r="P18" s="175"/>
      <c r="Q18" s="239"/>
      <c r="R18" s="222" t="e">
        <f t="shared" si="7"/>
        <v>#DIV/0!</v>
      </c>
      <c r="S18" s="176">
        <v>7</v>
      </c>
      <c r="T18" s="242">
        <v>180.02000000000004</v>
      </c>
      <c r="U18" s="177">
        <f t="shared" si="9"/>
        <v>25.717142857142864</v>
      </c>
      <c r="V18" s="176">
        <v>2</v>
      </c>
      <c r="W18" s="242">
        <v>26.4</v>
      </c>
      <c r="X18" s="197">
        <f t="shared" si="8"/>
        <v>13.2</v>
      </c>
      <c r="Y18" s="245">
        <v>472</v>
      </c>
      <c r="Z18" s="165">
        <f t="shared" si="0"/>
        <v>1.7365710080941867</v>
      </c>
      <c r="AA18" s="49">
        <v>2565.6800000000003</v>
      </c>
      <c r="AB18" s="165">
        <f t="shared" si="1"/>
        <v>11.068507333908542</v>
      </c>
      <c r="AC18" s="234"/>
      <c r="AD18" s="235"/>
      <c r="AE18" s="1">
        <v>678.75</v>
      </c>
      <c r="AF18" s="176"/>
      <c r="AG18" s="227">
        <v>106</v>
      </c>
      <c r="AH18" s="236">
        <v>1135.71</v>
      </c>
      <c r="AI18" s="172">
        <f t="shared" si="10"/>
        <v>10.714245283018869</v>
      </c>
      <c r="AJ18" s="199">
        <f t="shared" si="2"/>
        <v>29683.724999999995</v>
      </c>
      <c r="AK18" s="230">
        <f>+AJ18-587.91</f>
        <v>29095.814999999995</v>
      </c>
    </row>
    <row r="19" spans="1:37" x14ac:dyDescent="0.25">
      <c r="A19" s="163">
        <v>46005</v>
      </c>
      <c r="B19" s="175">
        <v>200</v>
      </c>
      <c r="C19" s="176">
        <v>210</v>
      </c>
      <c r="D19" s="176">
        <v>211</v>
      </c>
      <c r="E19" s="176"/>
      <c r="F19" s="165">
        <v>413</v>
      </c>
      <c r="G19" s="176"/>
      <c r="H19" s="165">
        <f>B19*0.2+SUM(C19:G19)*0.4</f>
        <v>373.6</v>
      </c>
      <c r="I19" s="208">
        <v>30369.135799999996</v>
      </c>
      <c r="J19" s="181">
        <f t="shared" si="4"/>
        <v>81.28783672376872</v>
      </c>
      <c r="K19" s="175">
        <v>40</v>
      </c>
      <c r="L19" s="177">
        <v>1714.4595299999996</v>
      </c>
      <c r="M19" s="235">
        <v>641.05999999999995</v>
      </c>
      <c r="N19" s="221">
        <f t="shared" si="5"/>
        <v>2355.5195299999996</v>
      </c>
      <c r="O19" s="168">
        <f t="shared" si="6"/>
        <v>58.887988249999992</v>
      </c>
      <c r="P19" s="175"/>
      <c r="Q19" s="239"/>
      <c r="R19" s="222" t="e">
        <f t="shared" si="7"/>
        <v>#DIV/0!</v>
      </c>
      <c r="S19" s="176">
        <v>43</v>
      </c>
      <c r="T19" s="208">
        <v>588.54999999999984</v>
      </c>
      <c r="U19" s="177">
        <f t="shared" si="9"/>
        <v>13.687209302325577</v>
      </c>
      <c r="V19" s="176">
        <v>270</v>
      </c>
      <c r="W19" s="208">
        <v>1938.6499999999996</v>
      </c>
      <c r="X19" s="197">
        <f t="shared" si="8"/>
        <v>7.1801851851851834</v>
      </c>
      <c r="Y19" s="233"/>
      <c r="Z19" s="165">
        <f t="shared" si="0"/>
        <v>0</v>
      </c>
      <c r="AA19" s="234">
        <v>2567.8200000000002</v>
      </c>
      <c r="AB19" s="165">
        <f t="shared" si="1"/>
        <v>6.8731798715203425</v>
      </c>
      <c r="AC19" s="234">
        <v>324.90000000000003</v>
      </c>
      <c r="AD19" s="235"/>
      <c r="AE19" s="176"/>
      <c r="AF19" s="176"/>
      <c r="AG19" s="227">
        <v>106</v>
      </c>
      <c r="AH19" s="228">
        <v>1171.75</v>
      </c>
      <c r="AI19" s="172">
        <f t="shared" si="10"/>
        <v>11.054245283018869</v>
      </c>
      <c r="AJ19" s="199">
        <f t="shared" si="2"/>
        <v>38675.265329999995</v>
      </c>
    </row>
    <row r="20" spans="1:37" x14ac:dyDescent="0.25">
      <c r="A20" s="163">
        <v>46006</v>
      </c>
      <c r="B20" s="175">
        <v>200</v>
      </c>
      <c r="C20" s="176">
        <v>210</v>
      </c>
      <c r="D20" s="176">
        <v>221</v>
      </c>
      <c r="E20" s="176"/>
      <c r="F20" s="165">
        <v>432</v>
      </c>
      <c r="G20" s="176"/>
      <c r="H20" s="165">
        <f t="shared" si="3"/>
        <v>385.20000000000005</v>
      </c>
      <c r="I20" s="208">
        <v>30332.950000000004</v>
      </c>
      <c r="J20" s="181">
        <f t="shared" si="4"/>
        <v>78.745976116303225</v>
      </c>
      <c r="K20" s="175">
        <v>40</v>
      </c>
      <c r="L20" s="177">
        <v>1767.8349999999996</v>
      </c>
      <c r="M20" s="235">
        <v>538.95000000000005</v>
      </c>
      <c r="N20" s="221">
        <f t="shared" si="5"/>
        <v>2306.7849999999999</v>
      </c>
      <c r="O20" s="168">
        <f t="shared" si="6"/>
        <v>57.669624999999996</v>
      </c>
      <c r="P20" s="175"/>
      <c r="Q20" s="239"/>
      <c r="R20" s="222" t="e">
        <f t="shared" si="7"/>
        <v>#DIV/0!</v>
      </c>
      <c r="S20" s="176">
        <v>42</v>
      </c>
      <c r="T20" s="208">
        <v>614.67000000000007</v>
      </c>
      <c r="U20" s="177">
        <f t="shared" si="9"/>
        <v>14.635000000000002</v>
      </c>
      <c r="V20" s="176">
        <v>128</v>
      </c>
      <c r="W20" s="208">
        <v>912.66000000000008</v>
      </c>
      <c r="X20" s="197">
        <f t="shared" si="8"/>
        <v>7.1301562500000006</v>
      </c>
      <c r="Y20" s="233">
        <v>662</v>
      </c>
      <c r="Z20" s="165">
        <f t="shared" si="0"/>
        <v>1.5569143932267167</v>
      </c>
      <c r="AA20" s="234">
        <v>3153.92</v>
      </c>
      <c r="AB20" s="165">
        <f t="shared" si="1"/>
        <v>8.1877466251298028</v>
      </c>
      <c r="AC20" s="234"/>
      <c r="AD20" s="235"/>
      <c r="AE20" s="176"/>
      <c r="AF20" s="176"/>
      <c r="AG20" s="227">
        <v>106</v>
      </c>
      <c r="AH20" s="236">
        <v>1125.24</v>
      </c>
      <c r="AI20" s="172">
        <f t="shared" si="10"/>
        <v>10.615471698113208</v>
      </c>
      <c r="AJ20" s="199">
        <f t="shared" si="2"/>
        <v>38569.275000000001</v>
      </c>
    </row>
    <row r="21" spans="1:37" x14ac:dyDescent="0.25">
      <c r="A21" s="163">
        <v>46007</v>
      </c>
      <c r="B21" s="164">
        <v>200</v>
      </c>
      <c r="C21" s="165">
        <v>210</v>
      </c>
      <c r="D21" s="176">
        <v>205</v>
      </c>
      <c r="E21" s="176"/>
      <c r="F21" s="165">
        <v>430</v>
      </c>
      <c r="G21" s="176"/>
      <c r="H21" s="165">
        <f t="shared" si="3"/>
        <v>378</v>
      </c>
      <c r="I21" s="208">
        <v>31451.03847</v>
      </c>
      <c r="J21" s="181">
        <f t="shared" si="4"/>
        <v>83.203805476190482</v>
      </c>
      <c r="K21" s="175">
        <v>40</v>
      </c>
      <c r="L21" s="177">
        <v>1714.9280000000003</v>
      </c>
      <c r="M21" s="221">
        <v>640.36</v>
      </c>
      <c r="N21" s="221">
        <f t="shared" si="5"/>
        <v>2355.2880000000005</v>
      </c>
      <c r="O21" s="168">
        <f t="shared" si="6"/>
        <v>58.882200000000012</v>
      </c>
      <c r="P21" s="175"/>
      <c r="Q21" s="239"/>
      <c r="R21" s="222" t="e">
        <f t="shared" si="7"/>
        <v>#DIV/0!</v>
      </c>
      <c r="S21" s="176">
        <v>51</v>
      </c>
      <c r="T21" s="208">
        <v>684.56</v>
      </c>
      <c r="U21" s="177">
        <f t="shared" si="9"/>
        <v>13.422745098039215</v>
      </c>
      <c r="V21" s="176">
        <v>118</v>
      </c>
      <c r="W21" s="208">
        <v>842.93000000000006</v>
      </c>
      <c r="X21" s="197">
        <f t="shared" si="8"/>
        <v>7.1434745762711866</v>
      </c>
      <c r="Y21" s="233">
        <v>376</v>
      </c>
      <c r="Z21" s="165">
        <f t="shared" si="0"/>
        <v>0.8995215311004785</v>
      </c>
      <c r="AA21" s="234">
        <v>2390.41</v>
      </c>
      <c r="AB21" s="165">
        <f t="shared" si="1"/>
        <v>6.3238359788359784</v>
      </c>
      <c r="AC21" s="234">
        <v>395.98</v>
      </c>
      <c r="AD21" s="235"/>
      <c r="AE21" s="176"/>
      <c r="AF21" s="176"/>
      <c r="AG21" s="227">
        <v>106</v>
      </c>
      <c r="AH21" s="228">
        <v>1283.4099999999999</v>
      </c>
      <c r="AI21" s="172">
        <f t="shared" si="10"/>
        <v>12.107641509433961</v>
      </c>
      <c r="AJ21" s="199">
        <f t="shared" si="2"/>
        <v>39139.256469999993</v>
      </c>
    </row>
    <row r="22" spans="1:37" x14ac:dyDescent="0.25">
      <c r="A22" s="163">
        <v>46008</v>
      </c>
      <c r="B22" s="164">
        <v>200</v>
      </c>
      <c r="C22" s="165">
        <v>210</v>
      </c>
      <c r="D22" s="176">
        <v>205</v>
      </c>
      <c r="E22" s="176"/>
      <c r="F22" s="165">
        <v>427</v>
      </c>
      <c r="G22" s="176"/>
      <c r="H22" s="165">
        <f>B22*0.2+SUM(C22:G22)*0.4</f>
        <v>376.8</v>
      </c>
      <c r="I22" s="208">
        <v>32866.4738</v>
      </c>
      <c r="J22" s="181">
        <f t="shared" si="4"/>
        <v>87.225248938428876</v>
      </c>
      <c r="K22" s="175">
        <v>39</v>
      </c>
      <c r="L22" s="177">
        <v>1757.729</v>
      </c>
      <c r="M22" s="221">
        <v>612.47</v>
      </c>
      <c r="N22" s="221">
        <f t="shared" si="5"/>
        <v>2370.1990000000001</v>
      </c>
      <c r="O22" s="168">
        <f t="shared" si="6"/>
        <v>60.774333333333338</v>
      </c>
      <c r="P22" s="175"/>
      <c r="Q22" s="239"/>
      <c r="R22" s="222" t="e">
        <f t="shared" si="7"/>
        <v>#DIV/0!</v>
      </c>
      <c r="S22" s="176">
        <v>32</v>
      </c>
      <c r="T22" s="208">
        <v>439.53000000000003</v>
      </c>
      <c r="U22" s="177">
        <f t="shared" si="9"/>
        <v>13.735312500000001</v>
      </c>
      <c r="V22" s="176">
        <v>123</v>
      </c>
      <c r="W22" s="208">
        <v>896.49</v>
      </c>
      <c r="X22" s="197">
        <f t="shared" si="8"/>
        <v>7.2885365853658541</v>
      </c>
      <c r="Y22" s="233"/>
      <c r="Z22" s="165">
        <f t="shared" si="0"/>
        <v>0</v>
      </c>
      <c r="AA22" s="234">
        <v>2850.29</v>
      </c>
      <c r="AB22" s="165">
        <f t="shared" si="1"/>
        <v>7.5644639065817403</v>
      </c>
      <c r="AC22" s="234"/>
      <c r="AD22" s="235"/>
      <c r="AE22" s="176"/>
      <c r="AF22" s="176"/>
      <c r="AG22" s="227">
        <v>106</v>
      </c>
      <c r="AH22" s="236">
        <v>1237.81</v>
      </c>
      <c r="AI22" s="172">
        <f t="shared" si="10"/>
        <v>11.677452830188679</v>
      </c>
      <c r="AJ22" s="199">
        <f t="shared" si="2"/>
        <v>40048.322799999994</v>
      </c>
    </row>
    <row r="23" spans="1:37" x14ac:dyDescent="0.25">
      <c r="A23" s="163">
        <v>46009</v>
      </c>
      <c r="B23" s="164">
        <v>200</v>
      </c>
      <c r="C23" s="165">
        <v>210</v>
      </c>
      <c r="D23" s="176">
        <v>205</v>
      </c>
      <c r="E23" s="176"/>
      <c r="F23" s="165">
        <v>413</v>
      </c>
      <c r="G23" s="176"/>
      <c r="H23" s="165">
        <f t="shared" si="3"/>
        <v>371.20000000000005</v>
      </c>
      <c r="I23" s="208">
        <v>27700.3</v>
      </c>
      <c r="J23" s="181">
        <f t="shared" si="4"/>
        <v>74.623653017241367</v>
      </c>
      <c r="K23" s="175">
        <v>39</v>
      </c>
      <c r="L23" s="177">
        <v>1585.54</v>
      </c>
      <c r="M23" s="221">
        <v>602.74</v>
      </c>
      <c r="N23" s="221">
        <f t="shared" si="5"/>
        <v>2188.2799999999997</v>
      </c>
      <c r="O23" s="168">
        <f t="shared" si="6"/>
        <v>56.10974358974358</v>
      </c>
      <c r="P23" s="175"/>
      <c r="Q23" s="239"/>
      <c r="R23" s="222" t="e">
        <f t="shared" si="7"/>
        <v>#DIV/0!</v>
      </c>
      <c r="S23" s="176">
        <v>27</v>
      </c>
      <c r="T23" s="208">
        <v>349.37</v>
      </c>
      <c r="U23" s="177">
        <f t="shared" si="9"/>
        <v>12.93962962962963</v>
      </c>
      <c r="V23" s="176">
        <v>128</v>
      </c>
      <c r="W23" s="208">
        <v>905.31000000000006</v>
      </c>
      <c r="X23" s="197">
        <f t="shared" si="8"/>
        <v>7.0727343750000005</v>
      </c>
      <c r="Y23" s="233">
        <v>709.94</v>
      </c>
      <c r="Z23" s="165">
        <f t="shared" si="0"/>
        <v>1.730716723549488</v>
      </c>
      <c r="AA23" s="234">
        <v>3084.33</v>
      </c>
      <c r="AB23" s="165">
        <f t="shared" si="1"/>
        <v>8.3090786637931018</v>
      </c>
      <c r="AC23" s="234">
        <v>255.51999999999998</v>
      </c>
      <c r="AD23" s="235"/>
      <c r="AE23" s="176"/>
      <c r="AF23" s="176"/>
      <c r="AG23" s="227">
        <v>106</v>
      </c>
      <c r="AH23" s="228">
        <v>1119.7599999999998</v>
      </c>
      <c r="AI23" s="172">
        <f t="shared" si="10"/>
        <v>10.563773584905658</v>
      </c>
      <c r="AJ23" s="199">
        <f t="shared" si="2"/>
        <v>35710.07</v>
      </c>
    </row>
    <row r="24" spans="1:37" x14ac:dyDescent="0.25">
      <c r="A24" s="163">
        <v>46010</v>
      </c>
      <c r="B24" s="164">
        <v>85</v>
      </c>
      <c r="C24" s="165">
        <v>95</v>
      </c>
      <c r="D24" s="165">
        <v>85</v>
      </c>
      <c r="E24" s="176"/>
      <c r="F24" s="165">
        <v>368</v>
      </c>
      <c r="G24" s="176"/>
      <c r="H24" s="165">
        <f t="shared" si="3"/>
        <v>236.20000000000002</v>
      </c>
      <c r="I24" s="208">
        <v>21518.269999999997</v>
      </c>
      <c r="J24" s="181">
        <f t="shared" si="4"/>
        <v>91.101905165114289</v>
      </c>
      <c r="K24" s="175">
        <v>39</v>
      </c>
      <c r="L24" s="177">
        <v>1576.0499999999997</v>
      </c>
      <c r="M24" s="221">
        <v>657.38</v>
      </c>
      <c r="N24" s="221">
        <f t="shared" si="5"/>
        <v>2233.4299999999998</v>
      </c>
      <c r="O24" s="168">
        <f t="shared" si="6"/>
        <v>57.267435897435895</v>
      </c>
      <c r="P24" s="175"/>
      <c r="Q24" s="239"/>
      <c r="R24" s="222" t="e">
        <f t="shared" si="7"/>
        <v>#DIV/0!</v>
      </c>
      <c r="S24" s="176">
        <v>7</v>
      </c>
      <c r="T24" s="208">
        <v>91.75</v>
      </c>
      <c r="U24" s="177">
        <f t="shared" si="9"/>
        <v>13.107142857142858</v>
      </c>
      <c r="V24" s="176">
        <v>4</v>
      </c>
      <c r="W24" s="208">
        <v>33.32</v>
      </c>
      <c r="X24" s="197">
        <f t="shared" si="8"/>
        <v>8.33</v>
      </c>
      <c r="Y24" s="233">
        <v>439.67</v>
      </c>
      <c r="Z24" s="165">
        <f t="shared" si="0"/>
        <v>1.5976380813953486</v>
      </c>
      <c r="AA24" s="234">
        <v>2184.4799999999996</v>
      </c>
      <c r="AB24" s="165">
        <f t="shared" si="1"/>
        <v>9.2484335309060093</v>
      </c>
      <c r="AC24" s="234"/>
      <c r="AD24" s="235"/>
      <c r="AE24" s="176"/>
      <c r="AF24" s="176"/>
      <c r="AG24" s="227">
        <v>106</v>
      </c>
      <c r="AH24" s="236">
        <v>1173.74</v>
      </c>
      <c r="AI24" s="172">
        <f t="shared" si="10"/>
        <v>11.073018867924528</v>
      </c>
      <c r="AJ24" s="199">
        <f t="shared" si="2"/>
        <v>27017.279999999995</v>
      </c>
    </row>
    <row r="25" spans="1:37" x14ac:dyDescent="0.25">
      <c r="A25" s="163">
        <v>46011</v>
      </c>
      <c r="B25" s="164">
        <v>85</v>
      </c>
      <c r="C25" s="165">
        <v>95</v>
      </c>
      <c r="D25" s="165">
        <v>85</v>
      </c>
      <c r="E25" s="176"/>
      <c r="F25" s="165">
        <v>367</v>
      </c>
      <c r="G25" s="176"/>
      <c r="H25" s="165">
        <f t="shared" si="3"/>
        <v>235.8</v>
      </c>
      <c r="I25" s="208">
        <v>24251.695800000001</v>
      </c>
      <c r="J25" s="181">
        <f t="shared" si="4"/>
        <v>102.84858269720102</v>
      </c>
      <c r="K25" s="175">
        <v>40</v>
      </c>
      <c r="L25" s="208">
        <v>1551.7099999999998</v>
      </c>
      <c r="M25" s="221">
        <v>596.54</v>
      </c>
      <c r="N25" s="221">
        <f t="shared" si="5"/>
        <v>2148.25</v>
      </c>
      <c r="O25" s="168">
        <f t="shared" si="6"/>
        <v>53.706249999999997</v>
      </c>
      <c r="P25" s="175"/>
      <c r="Q25" s="239"/>
      <c r="R25" s="222" t="e">
        <f t="shared" si="7"/>
        <v>#DIV/0!</v>
      </c>
      <c r="S25" s="176">
        <v>7</v>
      </c>
      <c r="T25" s="208">
        <v>89.149999999999991</v>
      </c>
      <c r="U25" s="177">
        <f t="shared" si="9"/>
        <v>12.735714285714284</v>
      </c>
      <c r="V25" s="176">
        <v>4</v>
      </c>
      <c r="W25" s="208">
        <v>27.349999999999998</v>
      </c>
      <c r="X25" s="197">
        <f t="shared" si="8"/>
        <v>6.8374999999999995</v>
      </c>
      <c r="Y25" s="233">
        <v>273.64000000000004</v>
      </c>
      <c r="Z25" s="165">
        <f t="shared" si="0"/>
        <v>0.99216823785351715</v>
      </c>
      <c r="AA25" s="234">
        <v>2841.51</v>
      </c>
      <c r="AB25" s="165">
        <f t="shared" si="1"/>
        <v>12.050508905852418</v>
      </c>
      <c r="AC25" s="234"/>
      <c r="AD25" s="235"/>
      <c r="AE25" s="176"/>
      <c r="AF25" s="176"/>
      <c r="AG25" s="227">
        <v>106</v>
      </c>
      <c r="AH25" s="246">
        <v>1155.94</v>
      </c>
      <c r="AI25" s="172">
        <f t="shared" si="10"/>
        <v>10.905094339622641</v>
      </c>
      <c r="AJ25" s="199">
        <f t="shared" si="2"/>
        <v>30190.995800000001</v>
      </c>
    </row>
    <row r="26" spans="1:37" x14ac:dyDescent="0.25">
      <c r="A26" s="163">
        <v>46012</v>
      </c>
      <c r="B26" s="164">
        <v>200</v>
      </c>
      <c r="C26" s="165">
        <v>210</v>
      </c>
      <c r="D26" s="176">
        <v>229</v>
      </c>
      <c r="E26" s="176"/>
      <c r="F26" s="165">
        <v>413</v>
      </c>
      <c r="G26" s="176"/>
      <c r="H26" s="165">
        <f>B26*0.2+SUM(C26:G26)*0.4</f>
        <v>380.8</v>
      </c>
      <c r="I26" s="208">
        <v>30101.409999999996</v>
      </c>
      <c r="J26" s="181">
        <f t="shared" si="4"/>
        <v>79.047820378151243</v>
      </c>
      <c r="K26" s="175">
        <v>39</v>
      </c>
      <c r="L26" s="177">
        <v>1513.5700000000002</v>
      </c>
      <c r="M26" s="221">
        <v>678.32</v>
      </c>
      <c r="N26" s="221">
        <f t="shared" si="5"/>
        <v>2191.8900000000003</v>
      </c>
      <c r="O26" s="168">
        <f t="shared" si="6"/>
        <v>56.202307692307699</v>
      </c>
      <c r="P26" s="175"/>
      <c r="Q26" s="239"/>
      <c r="R26" s="222" t="e">
        <f t="shared" si="7"/>
        <v>#DIV/0!</v>
      </c>
      <c r="S26" s="176">
        <v>43</v>
      </c>
      <c r="T26" s="208">
        <v>603.6</v>
      </c>
      <c r="U26" s="177">
        <f t="shared" si="9"/>
        <v>14.037209302325582</v>
      </c>
      <c r="V26" s="176">
        <v>128</v>
      </c>
      <c r="W26" s="208">
        <v>895.95</v>
      </c>
      <c r="X26" s="197">
        <f t="shared" si="8"/>
        <v>6.9996093750000004</v>
      </c>
      <c r="Y26" s="233"/>
      <c r="Z26" s="165">
        <f t="shared" si="0"/>
        <v>0</v>
      </c>
      <c r="AA26" s="234">
        <v>3670.9300000000003</v>
      </c>
      <c r="AB26" s="165">
        <f t="shared" si="1"/>
        <v>9.6400472689075638</v>
      </c>
      <c r="AC26" s="234">
        <v>431.55</v>
      </c>
      <c r="AD26" s="235"/>
      <c r="AE26" s="176">
        <v>430.42</v>
      </c>
      <c r="AF26" s="176"/>
      <c r="AG26" s="227">
        <v>106</v>
      </c>
      <c r="AH26" s="228">
        <v>1211.3600000000001</v>
      </c>
      <c r="AI26" s="172">
        <f t="shared" si="10"/>
        <v>11.427924528301888</v>
      </c>
      <c r="AJ26" s="199">
        <f t="shared" si="2"/>
        <v>38858.789999999994</v>
      </c>
    </row>
    <row r="27" spans="1:37" x14ac:dyDescent="0.25">
      <c r="A27" s="163">
        <v>46013</v>
      </c>
      <c r="B27" s="164">
        <v>200</v>
      </c>
      <c r="C27" s="165">
        <v>210</v>
      </c>
      <c r="D27" s="176">
        <v>229</v>
      </c>
      <c r="E27" s="176"/>
      <c r="F27" s="165">
        <v>429</v>
      </c>
      <c r="G27" s="176"/>
      <c r="H27" s="165">
        <f t="shared" si="3"/>
        <v>387.20000000000005</v>
      </c>
      <c r="I27" s="208">
        <v>30150.740199999997</v>
      </c>
      <c r="J27" s="181">
        <f t="shared" si="4"/>
        <v>77.868647210743788</v>
      </c>
      <c r="K27" s="175">
        <v>39</v>
      </c>
      <c r="L27" s="177">
        <v>1751.58</v>
      </c>
      <c r="M27" s="221">
        <v>611.54999999999995</v>
      </c>
      <c r="N27" s="221">
        <f t="shared" si="5"/>
        <v>2363.13</v>
      </c>
      <c r="O27" s="168">
        <f t="shared" si="6"/>
        <v>60.593076923076929</v>
      </c>
      <c r="P27" s="175">
        <v>105</v>
      </c>
      <c r="Q27" s="239">
        <v>6812.56898</v>
      </c>
      <c r="R27" s="222">
        <f t="shared" si="7"/>
        <v>64.88160933333333</v>
      </c>
      <c r="S27" s="176">
        <v>78</v>
      </c>
      <c r="T27" s="208">
        <v>1066.6799999999998</v>
      </c>
      <c r="U27" s="177">
        <f t="shared" si="9"/>
        <v>13.675384615384614</v>
      </c>
      <c r="V27" s="176">
        <v>128</v>
      </c>
      <c r="W27" s="208">
        <v>896.17000000000007</v>
      </c>
      <c r="X27" s="197">
        <f t="shared" si="8"/>
        <v>7.0013281250000006</v>
      </c>
      <c r="Y27" s="233">
        <v>948.98</v>
      </c>
      <c r="Z27" s="165">
        <f t="shared" si="0"/>
        <v>2.2266072266541528</v>
      </c>
      <c r="AA27" s="234">
        <v>2428.64</v>
      </c>
      <c r="AB27" s="165">
        <f t="shared" si="1"/>
        <v>6.2723140495867762</v>
      </c>
      <c r="AC27" s="234">
        <v>551.20000000000005</v>
      </c>
      <c r="AD27" s="235"/>
      <c r="AE27" s="176">
        <v>740.25</v>
      </c>
      <c r="AF27" s="176"/>
      <c r="AG27" s="227">
        <v>106</v>
      </c>
      <c r="AH27" s="236">
        <v>1141.48</v>
      </c>
      <c r="AI27" s="172">
        <f t="shared" si="10"/>
        <v>10.768679245283019</v>
      </c>
      <c r="AJ27" s="199">
        <f>+I27+L27+Q27+T27+W27+Y27+AA27+AC27+AD27+AE27+AF27+AH27</f>
        <v>46488.28918</v>
      </c>
    </row>
    <row r="28" spans="1:37" x14ac:dyDescent="0.25">
      <c r="A28" s="163">
        <v>46014</v>
      </c>
      <c r="B28" s="175">
        <v>200</v>
      </c>
      <c r="C28" s="176">
        <v>210</v>
      </c>
      <c r="D28" s="176">
        <v>205</v>
      </c>
      <c r="E28" s="176"/>
      <c r="F28" s="165">
        <v>436</v>
      </c>
      <c r="G28" s="176"/>
      <c r="H28" s="165">
        <f t="shared" si="3"/>
        <v>380.40000000000003</v>
      </c>
      <c r="I28" s="208">
        <v>31555.339999999997</v>
      </c>
      <c r="J28" s="181">
        <f t="shared" si="4"/>
        <v>82.95304942166139</v>
      </c>
      <c r="K28" s="175">
        <v>38</v>
      </c>
      <c r="L28" s="177">
        <v>1642.3000000000002</v>
      </c>
      <c r="M28" s="221">
        <v>629.05999999999995</v>
      </c>
      <c r="N28" s="221">
        <f t="shared" si="5"/>
        <v>2271.36</v>
      </c>
      <c r="O28" s="168">
        <f t="shared" si="6"/>
        <v>59.772631578947369</v>
      </c>
      <c r="P28" s="175"/>
      <c r="Q28" s="239"/>
      <c r="R28" s="222" t="e">
        <f t="shared" si="7"/>
        <v>#DIV/0!</v>
      </c>
      <c r="S28" s="176">
        <v>43</v>
      </c>
      <c r="T28" s="208">
        <v>603.6</v>
      </c>
      <c r="U28" s="177">
        <f t="shared" si="9"/>
        <v>14.037209302325582</v>
      </c>
      <c r="V28" s="176">
        <v>118</v>
      </c>
      <c r="W28" s="208">
        <v>813.25</v>
      </c>
      <c r="X28" s="197">
        <f t="shared" si="8"/>
        <v>6.8919491525423728</v>
      </c>
      <c r="Y28" s="233">
        <v>547.94000000000005</v>
      </c>
      <c r="Z28" s="165">
        <f t="shared" si="0"/>
        <v>1.3096080305927342</v>
      </c>
      <c r="AA28" s="234">
        <v>2934</v>
      </c>
      <c r="AB28" s="165">
        <f t="shared" si="1"/>
        <v>7.7129337539432168</v>
      </c>
      <c r="AC28" s="234">
        <v>181.6</v>
      </c>
      <c r="AD28" s="235"/>
      <c r="AE28" s="176"/>
      <c r="AF28" s="176"/>
      <c r="AG28" s="227">
        <v>106</v>
      </c>
      <c r="AH28" s="228">
        <v>1206.4099999999999</v>
      </c>
      <c r="AI28" s="172">
        <f t="shared" si="10"/>
        <v>11.381226415094337</v>
      </c>
      <c r="AJ28" s="199">
        <f t="shared" si="2"/>
        <v>39484.44</v>
      </c>
    </row>
    <row r="29" spans="1:37" x14ac:dyDescent="0.25">
      <c r="A29" s="163">
        <v>46015</v>
      </c>
      <c r="B29" s="175">
        <v>200</v>
      </c>
      <c r="C29" s="176">
        <v>210</v>
      </c>
      <c r="D29" s="176">
        <v>205</v>
      </c>
      <c r="E29" s="176"/>
      <c r="F29" s="165">
        <v>431</v>
      </c>
      <c r="G29" s="176"/>
      <c r="H29" s="165">
        <f t="shared" si="3"/>
        <v>378.40000000000003</v>
      </c>
      <c r="I29" s="208">
        <v>32188.031800000004</v>
      </c>
      <c r="J29" s="181">
        <f t="shared" si="4"/>
        <v>85.063508985200855</v>
      </c>
      <c r="K29" s="175">
        <v>39</v>
      </c>
      <c r="L29" s="177">
        <v>1608.62</v>
      </c>
      <c r="M29" s="221">
        <v>746.5</v>
      </c>
      <c r="N29" s="221">
        <f t="shared" si="5"/>
        <v>2355.12</v>
      </c>
      <c r="O29" s="168">
        <f t="shared" si="6"/>
        <v>60.387692307692305</v>
      </c>
      <c r="P29" s="175"/>
      <c r="Q29" s="239"/>
      <c r="R29" s="222" t="e">
        <f t="shared" si="7"/>
        <v>#DIV/0!</v>
      </c>
      <c r="S29" s="176">
        <v>26</v>
      </c>
      <c r="T29" s="208">
        <v>357.28999999999996</v>
      </c>
      <c r="U29" s="177">
        <f t="shared" si="9"/>
        <v>13.741923076923076</v>
      </c>
      <c r="V29" s="176">
        <v>123</v>
      </c>
      <c r="W29" s="208">
        <v>861.76</v>
      </c>
      <c r="X29" s="197">
        <f t="shared" si="8"/>
        <v>7.0061788617886176</v>
      </c>
      <c r="Y29" s="233">
        <v>306</v>
      </c>
      <c r="Z29" s="165">
        <f t="shared" si="0"/>
        <v>0.73310972688068987</v>
      </c>
      <c r="AA29" s="234">
        <v>2847.23</v>
      </c>
      <c r="AB29" s="165">
        <f t="shared" si="1"/>
        <v>7.524392177589851</v>
      </c>
      <c r="AC29" s="234"/>
      <c r="AD29" s="235"/>
      <c r="AE29" s="176"/>
      <c r="AF29" s="176"/>
      <c r="AG29" s="227">
        <v>106</v>
      </c>
      <c r="AH29" s="236">
        <v>1285.3799999999999</v>
      </c>
      <c r="AI29" s="172">
        <f t="shared" si="10"/>
        <v>12.126226415094338</v>
      </c>
      <c r="AJ29" s="199">
        <f t="shared" si="2"/>
        <v>39454.31180000001</v>
      </c>
    </row>
    <row r="30" spans="1:37" x14ac:dyDescent="0.25">
      <c r="A30" s="163">
        <v>46016</v>
      </c>
      <c r="B30" s="175">
        <v>200</v>
      </c>
      <c r="C30" s="176">
        <v>210</v>
      </c>
      <c r="D30" s="176">
        <v>205</v>
      </c>
      <c r="E30" s="176"/>
      <c r="F30" s="165">
        <v>416</v>
      </c>
      <c r="G30" s="176"/>
      <c r="H30" s="165">
        <f t="shared" si="3"/>
        <v>372.40000000000003</v>
      </c>
      <c r="I30" s="208">
        <v>32644.009999999987</v>
      </c>
      <c r="J30" s="181">
        <f t="shared" si="4"/>
        <v>87.658458646616495</v>
      </c>
      <c r="K30" s="175">
        <v>39</v>
      </c>
      <c r="L30" s="177">
        <v>1619.7300000000002</v>
      </c>
      <c r="M30" s="221">
        <v>705.58</v>
      </c>
      <c r="N30" s="221">
        <f t="shared" si="5"/>
        <v>2325.3100000000004</v>
      </c>
      <c r="O30" s="168">
        <f t="shared" si="6"/>
        <v>59.623333333333342</v>
      </c>
      <c r="P30" s="175"/>
      <c r="Q30" s="239"/>
      <c r="R30" s="222" t="e">
        <f t="shared" si="7"/>
        <v>#DIV/0!</v>
      </c>
      <c r="S30" s="176">
        <v>20</v>
      </c>
      <c r="T30" s="208">
        <v>263.48</v>
      </c>
      <c r="U30" s="177">
        <f t="shared" si="9"/>
        <v>13.174000000000001</v>
      </c>
      <c r="V30" s="176">
        <v>128</v>
      </c>
      <c r="W30" s="208">
        <v>881.12</v>
      </c>
      <c r="X30" s="197">
        <f t="shared" si="8"/>
        <v>6.88375</v>
      </c>
      <c r="Y30" s="233">
        <v>588</v>
      </c>
      <c r="Z30" s="165">
        <f t="shared" si="0"/>
        <v>1.4292659212445307</v>
      </c>
      <c r="AA30" s="234">
        <v>2761.29</v>
      </c>
      <c r="AB30" s="165">
        <f t="shared" si="1"/>
        <v>7.4148496240601496</v>
      </c>
      <c r="AC30" s="234">
        <v>869.16</v>
      </c>
      <c r="AD30" s="235"/>
      <c r="AE30" s="235">
        <v>3297.26</v>
      </c>
      <c r="AF30" s="176">
        <v>4140</v>
      </c>
      <c r="AG30" s="227">
        <v>106</v>
      </c>
      <c r="AH30" s="228">
        <v>1200.0999999999999</v>
      </c>
      <c r="AI30" s="172">
        <f t="shared" si="10"/>
        <v>11.321698113207546</v>
      </c>
      <c r="AJ30" s="199">
        <f t="shared" si="2"/>
        <v>48264.15</v>
      </c>
    </row>
    <row r="31" spans="1:37" x14ac:dyDescent="0.25">
      <c r="A31" s="163">
        <v>46017</v>
      </c>
      <c r="B31" s="164">
        <v>85</v>
      </c>
      <c r="C31" s="165">
        <v>95</v>
      </c>
      <c r="D31" s="165">
        <v>85</v>
      </c>
      <c r="E31" s="176"/>
      <c r="F31" s="165">
        <v>373</v>
      </c>
      <c r="G31" s="176"/>
      <c r="H31" s="165">
        <f t="shared" si="3"/>
        <v>238.20000000000002</v>
      </c>
      <c r="I31" s="208">
        <v>16983.559999999994</v>
      </c>
      <c r="J31" s="181">
        <f t="shared" si="4"/>
        <v>71.299580184718693</v>
      </c>
      <c r="K31" s="175">
        <v>39</v>
      </c>
      <c r="L31" s="177">
        <v>1621.0900000000001</v>
      </c>
      <c r="M31" s="221">
        <v>717.18</v>
      </c>
      <c r="N31" s="221">
        <f t="shared" si="5"/>
        <v>2338.27</v>
      </c>
      <c r="O31" s="168">
        <f t="shared" si="6"/>
        <v>59.955641025641022</v>
      </c>
      <c r="P31" s="175"/>
      <c r="Q31" s="239"/>
      <c r="R31" s="222" t="e">
        <f t="shared" si="7"/>
        <v>#DIV/0!</v>
      </c>
      <c r="S31" s="176">
        <v>7</v>
      </c>
      <c r="T31" s="234">
        <v>98.24</v>
      </c>
      <c r="U31" s="177">
        <f t="shared" si="9"/>
        <v>14.034285714285714</v>
      </c>
      <c r="V31" s="176">
        <v>2</v>
      </c>
      <c r="W31" s="208">
        <v>14.42</v>
      </c>
      <c r="X31" s="197">
        <f t="shared" si="8"/>
        <v>7.21</v>
      </c>
      <c r="Y31" s="233"/>
      <c r="Z31" s="165">
        <f t="shared" si="0"/>
        <v>0</v>
      </c>
      <c r="AA31" s="234">
        <v>1624.98</v>
      </c>
      <c r="AB31" s="165">
        <f t="shared" si="1"/>
        <v>6.8219143576826191</v>
      </c>
      <c r="AC31" s="234"/>
      <c r="AD31" s="235"/>
      <c r="AE31" s="176"/>
      <c r="AF31" s="176"/>
      <c r="AG31" s="227">
        <v>106</v>
      </c>
      <c r="AH31" s="236">
        <v>1227.0099999999998</v>
      </c>
      <c r="AI31" s="172">
        <f t="shared" si="10"/>
        <v>11.575566037735847</v>
      </c>
      <c r="AJ31" s="199">
        <f t="shared" si="2"/>
        <v>21569.299999999992</v>
      </c>
    </row>
    <row r="32" spans="1:37" x14ac:dyDescent="0.25">
      <c r="A32" s="163">
        <v>46018</v>
      </c>
      <c r="B32" s="164">
        <v>85</v>
      </c>
      <c r="C32" s="165">
        <v>95</v>
      </c>
      <c r="D32" s="165">
        <v>85</v>
      </c>
      <c r="E32" s="176"/>
      <c r="F32" s="165">
        <v>379</v>
      </c>
      <c r="G32" s="176"/>
      <c r="H32" s="165">
        <f t="shared" si="3"/>
        <v>240.60000000000002</v>
      </c>
      <c r="I32" s="208">
        <v>20124.560000000001</v>
      </c>
      <c r="J32" s="181">
        <f t="shared" si="4"/>
        <v>83.643225270157942</v>
      </c>
      <c r="K32" s="175">
        <v>39</v>
      </c>
      <c r="L32" s="177">
        <v>1667.0400000000002</v>
      </c>
      <c r="M32" s="221">
        <v>689.66</v>
      </c>
      <c r="N32" s="221">
        <f t="shared" si="5"/>
        <v>2356.7000000000003</v>
      </c>
      <c r="O32" s="168">
        <f t="shared" si="6"/>
        <v>60.428205128205136</v>
      </c>
      <c r="P32" s="175"/>
      <c r="Q32" s="239"/>
      <c r="R32" s="222" t="e">
        <f t="shared" si="7"/>
        <v>#DIV/0!</v>
      </c>
      <c r="S32" s="176">
        <v>7</v>
      </c>
      <c r="T32" s="208">
        <v>98.6</v>
      </c>
      <c r="U32" s="177">
        <f t="shared" si="9"/>
        <v>14.085714285714285</v>
      </c>
      <c r="V32" s="176">
        <v>2</v>
      </c>
      <c r="W32" s="208">
        <v>13.049999999999999</v>
      </c>
      <c r="X32" s="197">
        <f t="shared" si="8"/>
        <v>6.5249999999999995</v>
      </c>
      <c r="Y32" s="233">
        <v>472</v>
      </c>
      <c r="Z32" s="165">
        <f t="shared" si="0"/>
        <v>1.6881258941344777</v>
      </c>
      <c r="AA32" s="234">
        <v>2562.1600000000003</v>
      </c>
      <c r="AB32" s="165">
        <f t="shared" si="1"/>
        <v>10.649044056525353</v>
      </c>
      <c r="AC32" s="234"/>
      <c r="AD32" s="235"/>
      <c r="AE32" s="176"/>
      <c r="AF32" s="176"/>
      <c r="AG32" s="227">
        <v>106</v>
      </c>
      <c r="AH32" s="228">
        <v>1151.54</v>
      </c>
      <c r="AI32" s="172">
        <f t="shared" si="10"/>
        <v>10.863584905660376</v>
      </c>
      <c r="AJ32" s="199">
        <f t="shared" si="2"/>
        <v>26088.95</v>
      </c>
    </row>
    <row r="33" spans="1:36" x14ac:dyDescent="0.25">
      <c r="A33" s="163">
        <v>46019</v>
      </c>
      <c r="B33" s="175">
        <v>200</v>
      </c>
      <c r="C33" s="176">
        <v>210</v>
      </c>
      <c r="D33" s="176">
        <v>219</v>
      </c>
      <c r="E33" s="176"/>
      <c r="F33" s="165">
        <v>430</v>
      </c>
      <c r="G33" s="185"/>
      <c r="H33" s="165">
        <f>B33*0.2+SUM(C33:F33)*0.4</f>
        <v>383.6</v>
      </c>
      <c r="I33" s="247">
        <v>23541.88</v>
      </c>
      <c r="J33" s="181">
        <f t="shared" si="4"/>
        <v>61.370907194994786</v>
      </c>
      <c r="K33" s="175">
        <v>40</v>
      </c>
      <c r="L33" s="177">
        <v>1603.1</v>
      </c>
      <c r="M33" s="221">
        <v>653.32000000000005</v>
      </c>
      <c r="N33" s="221">
        <f t="shared" si="5"/>
        <v>2256.42</v>
      </c>
      <c r="O33" s="168">
        <f t="shared" si="6"/>
        <v>56.410499999999999</v>
      </c>
      <c r="P33" s="184"/>
      <c r="Q33" s="248"/>
      <c r="R33" s="222" t="e">
        <f t="shared" si="7"/>
        <v>#DIV/0!</v>
      </c>
      <c r="S33" s="185">
        <v>43</v>
      </c>
      <c r="T33" s="247">
        <v>602.17999999999995</v>
      </c>
      <c r="U33" s="177">
        <f t="shared" si="9"/>
        <v>14.004186046511627</v>
      </c>
      <c r="V33" s="176">
        <v>128</v>
      </c>
      <c r="W33" s="247">
        <v>895.48</v>
      </c>
      <c r="X33" s="197">
        <f t="shared" si="8"/>
        <v>6.9959375000000001</v>
      </c>
      <c r="Y33" s="249"/>
      <c r="Z33" s="165">
        <f t="shared" si="0"/>
        <v>0</v>
      </c>
      <c r="AA33" s="250">
        <v>1576.3</v>
      </c>
      <c r="AB33" s="165">
        <f t="shared" si="1"/>
        <v>4.1092283628779978</v>
      </c>
      <c r="AC33" s="250"/>
      <c r="AD33" s="251"/>
      <c r="AE33" s="176">
        <v>2642.28</v>
      </c>
      <c r="AF33" s="176"/>
      <c r="AG33" s="227">
        <v>106</v>
      </c>
      <c r="AH33" s="236">
        <v>1226.9099999999999</v>
      </c>
      <c r="AI33" s="172">
        <f t="shared" si="10"/>
        <v>11.574622641509432</v>
      </c>
      <c r="AJ33" s="199">
        <f t="shared" si="2"/>
        <v>32088.129999999997</v>
      </c>
    </row>
    <row r="34" spans="1:36" x14ac:dyDescent="0.25">
      <c r="A34" s="163">
        <v>46020</v>
      </c>
      <c r="B34" s="175">
        <v>200</v>
      </c>
      <c r="C34" s="176">
        <v>210</v>
      </c>
      <c r="D34" s="176">
        <v>205</v>
      </c>
      <c r="E34" s="176"/>
      <c r="F34" s="165">
        <v>433</v>
      </c>
      <c r="G34" s="185"/>
      <c r="H34" s="165">
        <f>B34*0.2+SUM(C34:F34)*0.4</f>
        <v>379.20000000000005</v>
      </c>
      <c r="I34" s="247">
        <v>24114</v>
      </c>
      <c r="J34" s="181">
        <f t="shared" si="4"/>
        <v>63.591772151898724</v>
      </c>
      <c r="K34" s="175">
        <v>40</v>
      </c>
      <c r="L34" s="187">
        <v>1521.53</v>
      </c>
      <c r="M34" s="221">
        <v>723.54</v>
      </c>
      <c r="N34" s="221">
        <f t="shared" si="5"/>
        <v>2245.0699999999997</v>
      </c>
      <c r="O34" s="168">
        <f t="shared" si="6"/>
        <v>56.126749999999994</v>
      </c>
      <c r="P34" s="184"/>
      <c r="Q34" s="248"/>
      <c r="R34" s="222" t="e">
        <f t="shared" si="7"/>
        <v>#DIV/0!</v>
      </c>
      <c r="S34" s="185">
        <v>41</v>
      </c>
      <c r="T34" s="247">
        <v>580.06999999999994</v>
      </c>
      <c r="U34" s="177">
        <f t="shared" si="9"/>
        <v>14.148048780487803</v>
      </c>
      <c r="V34" s="176">
        <v>128</v>
      </c>
      <c r="W34" s="247">
        <v>900.45</v>
      </c>
      <c r="X34" s="197">
        <f t="shared" si="8"/>
        <v>7.0347656250000004</v>
      </c>
      <c r="Y34" s="249">
        <v>746</v>
      </c>
      <c r="Z34" s="165">
        <f t="shared" si="0"/>
        <v>1.7795801526717556</v>
      </c>
      <c r="AA34" s="250">
        <v>1233.3</v>
      </c>
      <c r="AB34" s="165">
        <f t="shared" si="1"/>
        <v>3.2523734177215187</v>
      </c>
      <c r="AC34" s="250">
        <v>265.27</v>
      </c>
      <c r="AD34" s="251"/>
      <c r="AE34" s="176">
        <v>2052.4899999999998</v>
      </c>
      <c r="AF34" s="176"/>
      <c r="AG34" s="227">
        <v>106</v>
      </c>
      <c r="AH34" s="228">
        <v>1180.01</v>
      </c>
      <c r="AI34" s="172">
        <f t="shared" si="10"/>
        <v>11.132169811320754</v>
      </c>
      <c r="AJ34" s="199">
        <f t="shared" si="2"/>
        <v>32593.119999999999</v>
      </c>
    </row>
    <row r="35" spans="1:36" x14ac:dyDescent="0.25">
      <c r="A35" s="163">
        <v>46021</v>
      </c>
      <c r="B35" s="175">
        <v>200</v>
      </c>
      <c r="C35" s="176">
        <v>210</v>
      </c>
      <c r="D35" s="176">
        <v>205</v>
      </c>
      <c r="E35" s="176"/>
      <c r="F35" s="165">
        <v>433</v>
      </c>
      <c r="G35" s="185"/>
      <c r="H35" s="165">
        <f>B35*0.2+SUM(C35:F35)*0.4</f>
        <v>379.20000000000005</v>
      </c>
      <c r="I35" s="247">
        <v>24534.664999999997</v>
      </c>
      <c r="J35" s="181">
        <f t="shared" si="4"/>
        <v>64.701120780590699</v>
      </c>
      <c r="K35" s="175">
        <v>40</v>
      </c>
      <c r="L35" s="187">
        <v>1597.4699999999998</v>
      </c>
      <c r="M35" s="221">
        <v>620.76</v>
      </c>
      <c r="N35" s="221">
        <f t="shared" si="5"/>
        <v>2218.2299999999996</v>
      </c>
      <c r="O35" s="168">
        <f t="shared" si="6"/>
        <v>55.455749999999988</v>
      </c>
      <c r="P35" s="184"/>
      <c r="Q35" s="248"/>
      <c r="R35" s="222" t="e">
        <f t="shared" si="7"/>
        <v>#DIV/0!</v>
      </c>
      <c r="S35" s="185">
        <v>43</v>
      </c>
      <c r="T35" s="247">
        <v>603.6</v>
      </c>
      <c r="U35" s="177">
        <f t="shared" si="9"/>
        <v>14.037209302325582</v>
      </c>
      <c r="V35" s="176">
        <v>118</v>
      </c>
      <c r="W35" s="247">
        <v>822.73</v>
      </c>
      <c r="X35" s="197">
        <f t="shared" si="8"/>
        <v>6.9722881355932209</v>
      </c>
      <c r="Y35" s="249">
        <v>366</v>
      </c>
      <c r="Z35" s="165">
        <f t="shared" si="0"/>
        <v>0.87309160305343503</v>
      </c>
      <c r="AA35" s="250">
        <v>2220.38</v>
      </c>
      <c r="AB35" s="165">
        <f t="shared" si="1"/>
        <v>5.8554324894514762</v>
      </c>
      <c r="AC35" s="250">
        <v>652.36</v>
      </c>
      <c r="AD35" s="251"/>
      <c r="AE35" s="176"/>
      <c r="AF35" s="176"/>
      <c r="AG35" s="227">
        <v>106</v>
      </c>
      <c r="AH35" s="236">
        <v>1198.345</v>
      </c>
      <c r="AI35" s="172">
        <f t="shared" si="10"/>
        <v>11.305141509433962</v>
      </c>
      <c r="AJ35" s="199">
        <f t="shared" si="2"/>
        <v>31995.55</v>
      </c>
    </row>
    <row r="36" spans="1:36" ht="15.75" thickBot="1" x14ac:dyDescent="0.3">
      <c r="A36" s="163">
        <v>46022</v>
      </c>
      <c r="B36" s="175">
        <v>200</v>
      </c>
      <c r="C36" s="176">
        <v>210</v>
      </c>
      <c r="D36" s="176">
        <v>205</v>
      </c>
      <c r="E36" s="176"/>
      <c r="F36" s="165">
        <v>433</v>
      </c>
      <c r="G36" s="185"/>
      <c r="H36" s="165">
        <f>B36*0.2+SUM(C36:F36)*0.4</f>
        <v>379.20000000000005</v>
      </c>
      <c r="I36" s="247">
        <v>23205.119999999992</v>
      </c>
      <c r="J36" s="181">
        <f t="shared" si="4"/>
        <v>61.19493670886073</v>
      </c>
      <c r="K36" s="175">
        <v>40</v>
      </c>
      <c r="L36" s="187">
        <v>1767.7600000000002</v>
      </c>
      <c r="M36" s="221">
        <v>622.14</v>
      </c>
      <c r="N36" s="221">
        <f t="shared" si="5"/>
        <v>2389.9</v>
      </c>
      <c r="O36" s="168">
        <f t="shared" si="6"/>
        <v>59.747500000000002</v>
      </c>
      <c r="P36" s="184"/>
      <c r="Q36" s="248"/>
      <c r="R36" s="222" t="e">
        <f t="shared" si="7"/>
        <v>#DIV/0!</v>
      </c>
      <c r="S36" s="185">
        <v>27</v>
      </c>
      <c r="T36" s="247">
        <v>377.48</v>
      </c>
      <c r="U36" s="177">
        <f t="shared" si="9"/>
        <v>13.980740740740741</v>
      </c>
      <c r="V36" s="176">
        <v>123</v>
      </c>
      <c r="W36" s="247">
        <v>857.01999999999987</v>
      </c>
      <c r="X36" s="197">
        <f t="shared" si="8"/>
        <v>6.9676422764227635</v>
      </c>
      <c r="Y36" s="249">
        <v>485.82000000000005</v>
      </c>
      <c r="Z36" s="165">
        <f t="shared" si="0"/>
        <v>1.1589217557251907</v>
      </c>
      <c r="AA36" s="250">
        <v>2577.2000000000007</v>
      </c>
      <c r="AB36" s="165">
        <f t="shared" si="1"/>
        <v>6.7964135021097061</v>
      </c>
      <c r="AC36" s="250">
        <v>607.94000000000005</v>
      </c>
      <c r="AD36" s="251"/>
      <c r="AE36" s="176"/>
      <c r="AF36" s="176"/>
      <c r="AG36" s="227">
        <v>106</v>
      </c>
      <c r="AH36" s="228">
        <v>1122.68</v>
      </c>
      <c r="AI36" s="172">
        <f t="shared" si="10"/>
        <v>10.591320754716982</v>
      </c>
      <c r="AJ36" s="199">
        <f t="shared" si="2"/>
        <v>31001.01999999999</v>
      </c>
    </row>
    <row r="37" spans="1:36" s="39" customFormat="1" ht="26.25" thickBot="1" x14ac:dyDescent="0.3">
      <c r="A37" s="202" t="s">
        <v>77</v>
      </c>
      <c r="B37" s="195">
        <f t="shared" ref="B37:I37" si="11">SUM(B6:B36)</f>
        <v>5280</v>
      </c>
      <c r="C37" s="195">
        <f t="shared" si="11"/>
        <v>5590</v>
      </c>
      <c r="D37" s="195">
        <f t="shared" si="11"/>
        <v>5546</v>
      </c>
      <c r="E37" s="195">
        <f t="shared" si="11"/>
        <v>0</v>
      </c>
      <c r="F37" s="195">
        <f t="shared" si="11"/>
        <v>12517</v>
      </c>
      <c r="G37" s="195">
        <f t="shared" si="11"/>
        <v>0</v>
      </c>
      <c r="H37" s="195">
        <f t="shared" si="11"/>
        <v>10517.200000000003</v>
      </c>
      <c r="I37" s="195">
        <f t="shared" si="11"/>
        <v>824414.05302999995</v>
      </c>
      <c r="J37" s="195">
        <f>I37/H37</f>
        <v>78.387218368957491</v>
      </c>
      <c r="K37" s="195">
        <f>SUM(K6:K36)</f>
        <v>1210</v>
      </c>
      <c r="L37" s="195">
        <f>SUM(L6:L36)</f>
        <v>52072.981530000012</v>
      </c>
      <c r="M37" s="195">
        <f>SUM(M6:M36)</f>
        <v>19478.389999999996</v>
      </c>
      <c r="N37" s="195">
        <f>SUM(N6:N36)</f>
        <v>71551.371529999975</v>
      </c>
      <c r="O37" s="195">
        <f>+N37/K37</f>
        <v>59.133364900826429</v>
      </c>
      <c r="P37" s="195">
        <f>SUM(P6:P36)</f>
        <v>105</v>
      </c>
      <c r="Q37" s="195">
        <f>SUM(Q6:Q36)</f>
        <v>6812.56898</v>
      </c>
      <c r="R37" s="252">
        <f>+Q37/P37</f>
        <v>64.88160933333333</v>
      </c>
      <c r="S37" s="195">
        <f>SUM(S6:S36)</f>
        <v>932</v>
      </c>
      <c r="T37" s="195">
        <f>SUM(T6:T36)</f>
        <v>13699.207690000001</v>
      </c>
      <c r="U37" s="195"/>
      <c r="V37" s="195">
        <f t="shared" ref="V37:AG37" si="12">SUM(V6:V36)</f>
        <v>3085</v>
      </c>
      <c r="W37" s="195">
        <f t="shared" si="12"/>
        <v>21531.689999999995</v>
      </c>
      <c r="X37" s="195">
        <f t="shared" si="12"/>
        <v>230.70511684438924</v>
      </c>
      <c r="Y37" s="195">
        <f t="shared" si="12"/>
        <v>12402.11</v>
      </c>
      <c r="Z37" s="195">
        <f>+Y37/(K37+H37)</f>
        <v>1.0575508220206016</v>
      </c>
      <c r="AA37" s="195">
        <f t="shared" si="12"/>
        <v>78111.820000000022</v>
      </c>
      <c r="AB37" s="195">
        <f t="shared" si="1"/>
        <v>7.4270547293956568</v>
      </c>
      <c r="AC37" s="195">
        <f t="shared" si="12"/>
        <v>6794.6900000000005</v>
      </c>
      <c r="AD37" s="195">
        <f t="shared" si="12"/>
        <v>0</v>
      </c>
      <c r="AE37" s="253"/>
      <c r="AF37" s="253"/>
      <c r="AG37" s="195">
        <f t="shared" si="12"/>
        <v>3286</v>
      </c>
      <c r="AH37" s="195">
        <f>SUM(AH6:AH36)</f>
        <v>37173.905000000006</v>
      </c>
      <c r="AI37" s="195">
        <f>AH37/AG37</f>
        <v>11.312813451004262</v>
      </c>
      <c r="AJ37" s="203">
        <f>SUM(AJ6:AJ36)</f>
        <v>1076217.7562299999</v>
      </c>
    </row>
  </sheetData>
  <sheetProtection algorithmName="SHA-512" hashValue="z0ko0gnUhdXgnV/sewcbD/9mG5Qfg2ySneb/BqfD0UA+nYrWwUNJkERWbbxaAv9pxQZAyEKtb2vRgwevfEMWsw==" saltValue="XSWEBxeyvQMCfgrB24KDZw==" spinCount="100000" sheet="1" scenarios="1" sort="0" autoFilter="0"/>
  <mergeCells count="8">
    <mergeCell ref="A1:AJ1"/>
    <mergeCell ref="A2:AJ2"/>
    <mergeCell ref="A3:AJ3"/>
    <mergeCell ref="B4:J4"/>
    <mergeCell ref="K4:O4"/>
    <mergeCell ref="P4:X4"/>
    <mergeCell ref="Y4:AD4"/>
    <mergeCell ref="AG4:AI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6E68-844A-404D-AF18-06603B213A17}">
  <dimension ref="A1:AN44"/>
  <sheetViews>
    <sheetView zoomScale="80" zoomScaleNormal="80" workbookViewId="0">
      <selection activeCell="Z6" sqref="Z6"/>
    </sheetView>
  </sheetViews>
  <sheetFormatPr defaultRowHeight="15" x14ac:dyDescent="0.25"/>
  <cols>
    <col min="1" max="1" width="11.5703125" bestFit="1" customWidth="1"/>
    <col min="2" max="4" width="10" bestFit="1" customWidth="1"/>
    <col min="5" max="5" width="9.42578125" bestFit="1" customWidth="1"/>
    <col min="6" max="6" width="10.85546875" customWidth="1"/>
    <col min="7" max="7" width="9.42578125" bestFit="1" customWidth="1"/>
    <col min="8" max="8" width="11.28515625" bestFit="1" customWidth="1"/>
    <col min="9" max="9" width="13.5703125" customWidth="1"/>
    <col min="10" max="10" width="12" bestFit="1" customWidth="1"/>
    <col min="11" max="11" width="11.28515625" customWidth="1"/>
    <col min="12" max="12" width="11.28515625" bestFit="1" customWidth="1"/>
    <col min="13" max="14" width="11.28515625" customWidth="1"/>
    <col min="15" max="15" width="12" bestFit="1" customWidth="1"/>
    <col min="16" max="16" width="9.5703125" customWidth="1"/>
    <col min="17" max="17" width="11" customWidth="1"/>
    <col min="18" max="18" width="9.5703125" customWidth="1"/>
    <col min="19" max="19" width="10.140625" bestFit="1" customWidth="1"/>
    <col min="20" max="20" width="11.42578125" customWidth="1"/>
    <col min="21" max="21" width="8.42578125" bestFit="1" customWidth="1"/>
    <col min="22" max="22" width="10" bestFit="1" customWidth="1"/>
    <col min="23" max="23" width="12" bestFit="1" customWidth="1"/>
    <col min="24" max="24" width="10.42578125" style="39" customWidth="1"/>
    <col min="25" max="25" width="12.140625" customWidth="1"/>
    <col min="26" max="26" width="10.42578125" customWidth="1"/>
    <col min="27" max="27" width="11.42578125" customWidth="1"/>
    <col min="28" max="29" width="10.42578125" customWidth="1"/>
    <col min="30" max="30" width="9.5703125" customWidth="1"/>
    <col min="31" max="31" width="11.28515625" customWidth="1"/>
    <col min="32" max="32" width="10.7109375" customWidth="1"/>
    <col min="33" max="33" width="13.85546875" style="2" bestFit="1" customWidth="1"/>
    <col min="34" max="34" width="12.28515625" customWidth="1"/>
    <col min="36" max="36" width="13.85546875" style="2" bestFit="1" customWidth="1"/>
    <col min="37" max="37" width="11.140625" bestFit="1" customWidth="1"/>
    <col min="38" max="38" width="11.140625" customWidth="1"/>
    <col min="39" max="39" width="11.28515625" customWidth="1"/>
    <col min="40" max="40" width="9.5703125" bestFit="1" customWidth="1"/>
  </cols>
  <sheetData>
    <row r="1" spans="1:40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10"/>
    </row>
    <row r="2" spans="1:40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1:40" ht="21.75" thickBot="1" x14ac:dyDescent="0.4">
      <c r="A3" s="308" t="s">
        <v>103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10"/>
    </row>
    <row r="4" spans="1:40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3"/>
      <c r="K4" s="314" t="s">
        <v>62</v>
      </c>
      <c r="L4" s="315"/>
      <c r="M4" s="315"/>
      <c r="N4" s="315"/>
      <c r="O4" s="318"/>
      <c r="P4" s="314" t="s">
        <v>65</v>
      </c>
      <c r="Q4" s="315"/>
      <c r="R4" s="315"/>
      <c r="S4" s="315"/>
      <c r="T4" s="315"/>
      <c r="U4" s="315"/>
      <c r="V4" s="315"/>
      <c r="W4" s="315"/>
      <c r="X4" s="318"/>
      <c r="Y4" s="378"/>
      <c r="Z4" s="379"/>
      <c r="AA4" s="379"/>
      <c r="AB4" s="379"/>
      <c r="AC4" s="379"/>
      <c r="AD4" s="380"/>
      <c r="AE4" s="209"/>
      <c r="AF4" s="209"/>
      <c r="AG4" s="320" t="s">
        <v>67</v>
      </c>
      <c r="AH4" s="321"/>
      <c r="AI4" s="322"/>
      <c r="AJ4" s="144" t="s">
        <v>68</v>
      </c>
    </row>
    <row r="5" spans="1:40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148" t="s">
        <v>69</v>
      </c>
      <c r="I5" s="149" t="s">
        <v>0</v>
      </c>
      <c r="J5" s="150" t="s">
        <v>70</v>
      </c>
      <c r="K5" s="148" t="s">
        <v>69</v>
      </c>
      <c r="L5" s="148" t="s">
        <v>89</v>
      </c>
      <c r="M5" s="210" t="s">
        <v>90</v>
      </c>
      <c r="N5" s="211" t="s">
        <v>91</v>
      </c>
      <c r="O5" s="150" t="s">
        <v>70</v>
      </c>
      <c r="P5" s="212" t="s">
        <v>92</v>
      </c>
      <c r="Q5" s="212" t="s">
        <v>93</v>
      </c>
      <c r="R5" s="213" t="s">
        <v>94</v>
      </c>
      <c r="S5" s="152" t="s">
        <v>72</v>
      </c>
      <c r="T5" s="152" t="s">
        <v>73</v>
      </c>
      <c r="U5" s="152" t="s">
        <v>79</v>
      </c>
      <c r="V5" s="153" t="s">
        <v>21</v>
      </c>
      <c r="W5" s="153" t="s">
        <v>74</v>
      </c>
      <c r="X5" s="154" t="s">
        <v>16</v>
      </c>
      <c r="Y5" s="214" t="s">
        <v>95</v>
      </c>
      <c r="Z5" s="157" t="s">
        <v>96</v>
      </c>
      <c r="AA5" s="157" t="s">
        <v>97</v>
      </c>
      <c r="AB5" s="157" t="s">
        <v>98</v>
      </c>
      <c r="AC5" s="157" t="s">
        <v>99</v>
      </c>
      <c r="AD5" s="215" t="s">
        <v>100</v>
      </c>
      <c r="AE5" s="216" t="s">
        <v>101</v>
      </c>
      <c r="AF5" s="217" t="s">
        <v>102</v>
      </c>
      <c r="AG5" s="218" t="s">
        <v>75</v>
      </c>
      <c r="AH5" s="219" t="s">
        <v>30</v>
      </c>
      <c r="AI5" s="162" t="s">
        <v>76</v>
      </c>
      <c r="AJ5" s="144" t="s">
        <v>68</v>
      </c>
    </row>
    <row r="6" spans="1:40" ht="20.100000000000001" customHeight="1" x14ac:dyDescent="0.25">
      <c r="A6" s="163">
        <v>46023</v>
      </c>
      <c r="B6" s="175">
        <v>200</v>
      </c>
      <c r="C6" s="176">
        <v>210</v>
      </c>
      <c r="D6" s="176">
        <v>205</v>
      </c>
      <c r="E6" s="165"/>
      <c r="F6" s="165">
        <v>426</v>
      </c>
      <c r="G6" s="165"/>
      <c r="H6" s="165">
        <f>B6*0.2+SUM(C6:F6)*0.4</f>
        <v>376.40000000000003</v>
      </c>
      <c r="I6" s="167">
        <v>18997.839299999996</v>
      </c>
      <c r="J6" s="254">
        <f>I6/H6</f>
        <v>50.472474229543025</v>
      </c>
      <c r="K6" s="164">
        <v>38</v>
      </c>
      <c r="L6" s="177">
        <v>1517.6100000000001</v>
      </c>
      <c r="M6" s="221">
        <v>725.92</v>
      </c>
      <c r="N6" s="221">
        <f t="shared" ref="N6:N36" si="0">+M6+L6</f>
        <v>2243.5300000000002</v>
      </c>
      <c r="O6" s="255">
        <f>+N6/K6</f>
        <v>59.040263157894742</v>
      </c>
      <c r="P6" s="164"/>
      <c r="Q6" s="222"/>
      <c r="R6" s="222" t="e">
        <f>+Q6/P6</f>
        <v>#DIV/0!</v>
      </c>
      <c r="S6" s="165">
        <v>20</v>
      </c>
      <c r="T6" s="165">
        <v>276.11</v>
      </c>
      <c r="U6" s="177">
        <f>T6/S6</f>
        <v>13.8055</v>
      </c>
      <c r="V6" s="165">
        <v>128</v>
      </c>
      <c r="W6" s="167">
        <v>801.8</v>
      </c>
      <c r="X6" s="256">
        <f>W6/V6</f>
        <v>6.2640624999999996</v>
      </c>
      <c r="Y6" s="164">
        <v>312</v>
      </c>
      <c r="Z6" s="165">
        <f t="shared" ref="Z6:Z36" si="1">+Y6/(H6+K6)</f>
        <v>0.75289575289575283</v>
      </c>
      <c r="AA6" s="165">
        <v>1551.18</v>
      </c>
      <c r="AB6" s="165">
        <f t="shared" ref="AB6:AB37" si="2">+AA6/H6</f>
        <v>4.1210945802337937</v>
      </c>
      <c r="AC6" s="236"/>
      <c r="AD6" s="226"/>
      <c r="AE6" s="176"/>
      <c r="AF6" s="176"/>
      <c r="AG6" s="227">
        <v>106</v>
      </c>
      <c r="AH6" s="236">
        <v>1126.71</v>
      </c>
      <c r="AI6" s="257">
        <f>AH6/AG6</f>
        <v>10.62933962264151</v>
      </c>
      <c r="AJ6" s="258">
        <f>+I6+L6+Q6+T6+W6+Y6+AA6+AC6+AD6+AE6+AF6+AH6</f>
        <v>24583.249299999996</v>
      </c>
      <c r="AL6" s="229"/>
      <c r="AM6" s="230"/>
    </row>
    <row r="7" spans="1:40" ht="20.100000000000001" customHeight="1" x14ac:dyDescent="0.25">
      <c r="A7" s="163">
        <v>46024</v>
      </c>
      <c r="B7" s="164">
        <v>85</v>
      </c>
      <c r="C7" s="165">
        <v>95</v>
      </c>
      <c r="D7" s="165">
        <v>85</v>
      </c>
      <c r="E7" s="176"/>
      <c r="F7" s="165">
        <v>379</v>
      </c>
      <c r="G7" s="176"/>
      <c r="H7" s="165">
        <f t="shared" ref="H7:H36" si="3">B7*0.2+SUM(C7:F7)*0.4</f>
        <v>240.60000000000002</v>
      </c>
      <c r="I7" s="177">
        <v>13946.02</v>
      </c>
      <c r="J7" s="166">
        <f t="shared" ref="J7:J36" si="4">I7/H7</f>
        <v>57.963507896924355</v>
      </c>
      <c r="K7" s="259">
        <v>38</v>
      </c>
      <c r="L7" s="177">
        <v>1632.5149999999999</v>
      </c>
      <c r="M7" s="221">
        <v>702.06</v>
      </c>
      <c r="N7" s="221">
        <f t="shared" si="0"/>
        <v>2334.5749999999998</v>
      </c>
      <c r="O7" s="168">
        <f t="shared" ref="O7:O36" si="5">+N7/K7</f>
        <v>61.436184210526314</v>
      </c>
      <c r="P7" s="175"/>
      <c r="Q7" s="222"/>
      <c r="R7" s="222" t="e">
        <f t="shared" ref="R7:R36" si="6">+Q7/P7</f>
        <v>#DIV/0!</v>
      </c>
      <c r="S7" s="165">
        <v>7</v>
      </c>
      <c r="T7" s="200">
        <v>80.199999999999989</v>
      </c>
      <c r="U7" s="177">
        <f>T7/S7</f>
        <v>11.457142857142856</v>
      </c>
      <c r="V7" s="165">
        <v>2</v>
      </c>
      <c r="W7" s="167">
        <v>14.5</v>
      </c>
      <c r="X7" s="197">
        <f t="shared" ref="X7:X36" si="7">W7/V7</f>
        <v>7.25</v>
      </c>
      <c r="Y7" s="233"/>
      <c r="Z7" s="165">
        <f t="shared" si="1"/>
        <v>0</v>
      </c>
      <c r="AA7" s="176">
        <v>1829.79</v>
      </c>
      <c r="AB7" s="165">
        <f t="shared" si="2"/>
        <v>7.6051122194513709</v>
      </c>
      <c r="AC7" s="234"/>
      <c r="AD7" s="235"/>
      <c r="AE7" s="176"/>
      <c r="AF7" s="176"/>
      <c r="AG7" s="227">
        <v>106</v>
      </c>
      <c r="AH7" s="236">
        <v>1259.3600000000001</v>
      </c>
      <c r="AI7" s="172">
        <f>AH7/AG7</f>
        <v>11.880754716981134</v>
      </c>
      <c r="AJ7" s="258">
        <f t="shared" ref="AJ7:AJ36" si="8">+I7+L7+Q7+T7+W7+Y7+AA7+AC7+AD7+AE7+AF7+AH7</f>
        <v>18762.385000000002</v>
      </c>
      <c r="AL7" s="237"/>
      <c r="AM7" s="230"/>
    </row>
    <row r="8" spans="1:40" ht="20.100000000000001" customHeight="1" x14ac:dyDescent="0.25">
      <c r="A8" s="163">
        <v>46025</v>
      </c>
      <c r="B8" s="164">
        <v>85</v>
      </c>
      <c r="C8" s="165">
        <v>95</v>
      </c>
      <c r="D8" s="165">
        <v>85</v>
      </c>
      <c r="E8" s="176"/>
      <c r="F8" s="165">
        <v>381</v>
      </c>
      <c r="G8" s="176"/>
      <c r="H8" s="165">
        <f t="shared" si="3"/>
        <v>241.4</v>
      </c>
      <c r="I8" s="177">
        <v>19563.814999999995</v>
      </c>
      <c r="J8" s="166">
        <f t="shared" si="4"/>
        <v>81.043144159072057</v>
      </c>
      <c r="K8" s="259">
        <v>38</v>
      </c>
      <c r="L8" s="177">
        <v>1605.5049999999999</v>
      </c>
      <c r="M8" s="221">
        <v>707.46</v>
      </c>
      <c r="N8" s="221">
        <f t="shared" si="0"/>
        <v>2312.9650000000001</v>
      </c>
      <c r="O8" s="168">
        <f t="shared" si="5"/>
        <v>60.867500000000007</v>
      </c>
      <c r="P8" s="175"/>
      <c r="Q8" s="222"/>
      <c r="R8" s="222" t="e">
        <f t="shared" si="6"/>
        <v>#DIV/0!</v>
      </c>
      <c r="S8" s="165">
        <v>7</v>
      </c>
      <c r="T8" s="177">
        <v>81.739999999999995</v>
      </c>
      <c r="U8" s="177">
        <f>T8/S8</f>
        <v>11.677142857142856</v>
      </c>
      <c r="V8" s="176">
        <v>2</v>
      </c>
      <c r="W8" s="167">
        <v>12.2</v>
      </c>
      <c r="X8" s="197">
        <f t="shared" si="7"/>
        <v>6.1</v>
      </c>
      <c r="Y8" s="175">
        <v>939.04</v>
      </c>
      <c r="Z8" s="165">
        <f t="shared" si="1"/>
        <v>3.3609162491052258</v>
      </c>
      <c r="AA8" s="176">
        <v>2579.3199999999997</v>
      </c>
      <c r="AB8" s="165">
        <f t="shared" si="2"/>
        <v>10.68483844241922</v>
      </c>
      <c r="AC8" s="234"/>
      <c r="AD8" s="235"/>
      <c r="AE8" s="176"/>
      <c r="AF8" s="176"/>
      <c r="AG8" s="227">
        <v>106</v>
      </c>
      <c r="AH8" s="228">
        <v>1176.23</v>
      </c>
      <c r="AI8" s="172">
        <f>AH8/AG8</f>
        <v>11.096509433962265</v>
      </c>
      <c r="AJ8" s="258">
        <f>+I8+L8+Q8+T8+W8+Y8+AA8+AC8+AD8+AE8+AF8+AH8</f>
        <v>25957.85</v>
      </c>
      <c r="AL8" s="229"/>
      <c r="AM8" s="230"/>
    </row>
    <row r="9" spans="1:40" ht="20.100000000000001" customHeight="1" x14ac:dyDescent="0.25">
      <c r="A9" s="163">
        <v>46026</v>
      </c>
      <c r="B9" s="175">
        <v>200</v>
      </c>
      <c r="C9" s="176">
        <v>210</v>
      </c>
      <c r="D9" s="165">
        <v>221</v>
      </c>
      <c r="E9" s="176"/>
      <c r="F9" s="165">
        <v>440</v>
      </c>
      <c r="G9" s="176"/>
      <c r="H9" s="165">
        <f t="shared" si="3"/>
        <v>388.40000000000003</v>
      </c>
      <c r="I9" s="177">
        <v>21010.390000000007</v>
      </c>
      <c r="J9" s="181">
        <f t="shared" si="4"/>
        <v>54.094721936148311</v>
      </c>
      <c r="K9" s="259">
        <v>38</v>
      </c>
      <c r="L9" s="177">
        <v>1466.6200000000001</v>
      </c>
      <c r="M9" s="238">
        <v>673.98</v>
      </c>
      <c r="N9" s="221">
        <f t="shared" si="0"/>
        <v>2140.6000000000004</v>
      </c>
      <c r="O9" s="168">
        <f t="shared" si="5"/>
        <v>56.331578947368428</v>
      </c>
      <c r="P9" s="175"/>
      <c r="Q9" s="222"/>
      <c r="R9" s="222" t="e">
        <f t="shared" si="6"/>
        <v>#DIV/0!</v>
      </c>
      <c r="S9" s="165">
        <v>43</v>
      </c>
      <c r="T9" s="177">
        <v>506.14</v>
      </c>
      <c r="U9" s="177">
        <f t="shared" ref="U9:U36" si="9">T9/S9</f>
        <v>11.770697674418605</v>
      </c>
      <c r="V9" s="176">
        <v>270</v>
      </c>
      <c r="W9" s="167">
        <v>1889.31</v>
      </c>
      <c r="X9" s="197">
        <f t="shared" si="7"/>
        <v>6.9974444444444446</v>
      </c>
      <c r="Y9" s="175">
        <v>325.03999999999996</v>
      </c>
      <c r="Z9" s="165">
        <f t="shared" si="1"/>
        <v>0.7622889305816134</v>
      </c>
      <c r="AA9" s="176">
        <v>1985.3500000000001</v>
      </c>
      <c r="AB9" s="165">
        <f t="shared" si="2"/>
        <v>5.1116117404737382</v>
      </c>
      <c r="AC9" s="176">
        <v>296.01</v>
      </c>
      <c r="AD9" s="235"/>
      <c r="AE9" s="176"/>
      <c r="AF9" s="176"/>
      <c r="AG9" s="227">
        <v>106</v>
      </c>
      <c r="AH9" s="236">
        <v>1176.125</v>
      </c>
      <c r="AI9" s="172">
        <f>AH9/AG9</f>
        <v>11.095518867924529</v>
      </c>
      <c r="AJ9" s="258">
        <f t="shared" si="8"/>
        <v>28654.985000000004</v>
      </c>
      <c r="AL9" s="237"/>
      <c r="AM9" s="230"/>
    </row>
    <row r="10" spans="1:40" ht="20.100000000000001" customHeight="1" x14ac:dyDescent="0.25">
      <c r="A10" s="163">
        <v>46027</v>
      </c>
      <c r="B10" s="175">
        <v>200</v>
      </c>
      <c r="C10" s="176">
        <v>210</v>
      </c>
      <c r="D10" s="165">
        <v>213</v>
      </c>
      <c r="E10" s="176"/>
      <c r="F10" s="165">
        <v>439</v>
      </c>
      <c r="G10" s="176"/>
      <c r="H10" s="165">
        <f t="shared" si="3"/>
        <v>384.8</v>
      </c>
      <c r="I10" s="177">
        <v>27773.884999999991</v>
      </c>
      <c r="J10" s="181">
        <f t="shared" si="4"/>
        <v>72.177455821205797</v>
      </c>
      <c r="K10" s="259">
        <v>38</v>
      </c>
      <c r="L10" s="177">
        <v>1594.5</v>
      </c>
      <c r="M10" s="221">
        <v>716.45</v>
      </c>
      <c r="N10" s="221">
        <f t="shared" si="0"/>
        <v>2310.9499999999998</v>
      </c>
      <c r="O10" s="168">
        <f t="shared" si="5"/>
        <v>60.814473684210519</v>
      </c>
      <c r="P10" s="175"/>
      <c r="Q10" s="222"/>
      <c r="R10" s="222" t="e">
        <f t="shared" si="6"/>
        <v>#DIV/0!</v>
      </c>
      <c r="S10" s="165">
        <v>41</v>
      </c>
      <c r="T10" s="177">
        <v>541.41</v>
      </c>
      <c r="U10" s="177">
        <f t="shared" si="9"/>
        <v>13.205121951219512</v>
      </c>
      <c r="V10" s="176">
        <v>128</v>
      </c>
      <c r="W10" s="167">
        <v>879</v>
      </c>
      <c r="X10" s="197">
        <f t="shared" si="7"/>
        <v>6.8671875</v>
      </c>
      <c r="Y10" s="175">
        <v>334</v>
      </c>
      <c r="Z10" s="165">
        <f t="shared" si="1"/>
        <v>0.7899716177861873</v>
      </c>
      <c r="AA10" s="176">
        <v>2157.4</v>
      </c>
      <c r="AB10" s="165">
        <f t="shared" si="2"/>
        <v>5.6065488565488568</v>
      </c>
      <c r="AC10" s="176"/>
      <c r="AD10" s="235"/>
      <c r="AE10" s="176">
        <v>1153.95</v>
      </c>
      <c r="AF10" s="176"/>
      <c r="AG10" s="227">
        <v>106</v>
      </c>
      <c r="AH10" s="228">
        <v>1164.3499999999999</v>
      </c>
      <c r="AI10" s="172">
        <f t="shared" ref="AI10:AI36" si="10">AH10/AG10</f>
        <v>10.98443396226415</v>
      </c>
      <c r="AJ10" s="258">
        <f t="shared" si="8"/>
        <v>35598.494999999988</v>
      </c>
      <c r="AL10" s="229"/>
      <c r="AM10" s="230"/>
    </row>
    <row r="11" spans="1:40" ht="20.100000000000001" customHeight="1" x14ac:dyDescent="0.25">
      <c r="A11" s="163">
        <v>46028</v>
      </c>
      <c r="B11" s="175">
        <v>200</v>
      </c>
      <c r="C11" s="176">
        <v>210</v>
      </c>
      <c r="D11" s="176">
        <v>205</v>
      </c>
      <c r="E11" s="176"/>
      <c r="F11" s="165">
        <v>441</v>
      </c>
      <c r="G11" s="176"/>
      <c r="H11" s="165">
        <f t="shared" si="3"/>
        <v>382.40000000000003</v>
      </c>
      <c r="I11" s="177">
        <v>23404.643149999996</v>
      </c>
      <c r="J11" s="181">
        <f t="shared" si="4"/>
        <v>61.204610747907935</v>
      </c>
      <c r="K11" s="259">
        <v>39</v>
      </c>
      <c r="L11" s="177">
        <v>1568.8600000000001</v>
      </c>
      <c r="M11" s="221">
        <v>721.48</v>
      </c>
      <c r="N11" s="221">
        <f t="shared" si="0"/>
        <v>2290.34</v>
      </c>
      <c r="O11" s="168">
        <f t="shared" si="5"/>
        <v>58.726666666666674</v>
      </c>
      <c r="P11" s="175"/>
      <c r="Q11" s="222"/>
      <c r="R11" s="222" t="e">
        <f t="shared" si="6"/>
        <v>#DIV/0!</v>
      </c>
      <c r="S11" s="165">
        <v>38</v>
      </c>
      <c r="T11" s="177">
        <v>543.96</v>
      </c>
      <c r="U11" s="177">
        <f t="shared" si="9"/>
        <v>14.314736842105264</v>
      </c>
      <c r="V11" s="176">
        <v>118</v>
      </c>
      <c r="W11" s="167">
        <v>793.13</v>
      </c>
      <c r="X11" s="197">
        <f t="shared" si="7"/>
        <v>6.7214406779661013</v>
      </c>
      <c r="Y11" s="175">
        <v>489.98</v>
      </c>
      <c r="Z11" s="165">
        <f t="shared" si="1"/>
        <v>1.1627432368296156</v>
      </c>
      <c r="AA11" s="176">
        <v>1866.5499999999995</v>
      </c>
      <c r="AB11" s="165">
        <f t="shared" si="2"/>
        <v>4.8811453974895382</v>
      </c>
      <c r="AC11" s="176"/>
      <c r="AD11" s="235"/>
      <c r="AE11" s="176">
        <v>1709.76</v>
      </c>
      <c r="AF11" s="176">
        <v>2756</v>
      </c>
      <c r="AG11" s="227">
        <v>106</v>
      </c>
      <c r="AH11" s="236">
        <v>1150.5299999999997</v>
      </c>
      <c r="AI11" s="172">
        <f t="shared" si="10"/>
        <v>10.854056603773582</v>
      </c>
      <c r="AJ11" s="258">
        <f t="shared" si="8"/>
        <v>34283.413149999993</v>
      </c>
      <c r="AL11" s="237"/>
      <c r="AM11" s="230"/>
    </row>
    <row r="12" spans="1:40" ht="20.100000000000001" customHeight="1" x14ac:dyDescent="0.25">
      <c r="A12" s="163">
        <v>46029</v>
      </c>
      <c r="B12" s="175">
        <v>200</v>
      </c>
      <c r="C12" s="176">
        <v>210</v>
      </c>
      <c r="D12" s="176">
        <v>206</v>
      </c>
      <c r="E12" s="176"/>
      <c r="F12" s="165">
        <v>440</v>
      </c>
      <c r="G12" s="176"/>
      <c r="H12" s="165">
        <f t="shared" si="3"/>
        <v>382.40000000000003</v>
      </c>
      <c r="I12" s="177">
        <v>23524.12</v>
      </c>
      <c r="J12" s="181">
        <f t="shared" si="4"/>
        <v>61.51705020920501</v>
      </c>
      <c r="K12" s="259">
        <v>40</v>
      </c>
      <c r="L12" s="177">
        <v>1651.1749999999997</v>
      </c>
      <c r="M12" s="221">
        <v>689.89</v>
      </c>
      <c r="N12" s="221">
        <f t="shared" si="0"/>
        <v>2341.0649999999996</v>
      </c>
      <c r="O12" s="168">
        <f t="shared" si="5"/>
        <v>58.526624999999989</v>
      </c>
      <c r="P12" s="175"/>
      <c r="Q12" s="239"/>
      <c r="R12" s="222" t="e">
        <f t="shared" si="6"/>
        <v>#DIV/0!</v>
      </c>
      <c r="S12" s="176">
        <v>10</v>
      </c>
      <c r="T12" s="177">
        <v>139.93</v>
      </c>
      <c r="U12" s="177">
        <f t="shared" si="9"/>
        <v>13.993</v>
      </c>
      <c r="V12" s="176">
        <v>128</v>
      </c>
      <c r="W12" s="167">
        <v>814</v>
      </c>
      <c r="X12" s="197">
        <f t="shared" si="7"/>
        <v>6.359375</v>
      </c>
      <c r="Y12" s="175">
        <v>319.99</v>
      </c>
      <c r="Z12" s="165">
        <f t="shared" si="1"/>
        <v>0.75755208333333335</v>
      </c>
      <c r="AA12" s="176">
        <v>2594.56</v>
      </c>
      <c r="AB12" s="165">
        <f t="shared" si="2"/>
        <v>6.7849372384937228</v>
      </c>
      <c r="AC12" s="176">
        <v>508.88</v>
      </c>
      <c r="AD12" s="235"/>
      <c r="AE12" s="176"/>
      <c r="AF12" s="176"/>
      <c r="AG12" s="227">
        <v>106</v>
      </c>
      <c r="AH12" s="228">
        <v>1131.4000000000001</v>
      </c>
      <c r="AI12" s="172">
        <f t="shared" si="10"/>
        <v>10.673584905660379</v>
      </c>
      <c r="AJ12" s="258">
        <f t="shared" si="8"/>
        <v>30684.055000000004</v>
      </c>
      <c r="AM12" s="230"/>
    </row>
    <row r="13" spans="1:40" ht="20.100000000000001" customHeight="1" x14ac:dyDescent="0.25">
      <c r="A13" s="163">
        <v>46030</v>
      </c>
      <c r="B13" s="175">
        <v>200</v>
      </c>
      <c r="C13" s="176">
        <v>210</v>
      </c>
      <c r="D13" s="176">
        <v>205</v>
      </c>
      <c r="E13" s="176"/>
      <c r="F13" s="165">
        <v>428</v>
      </c>
      <c r="G13" s="176"/>
      <c r="H13" s="165">
        <f t="shared" si="3"/>
        <v>377.20000000000005</v>
      </c>
      <c r="I13" s="177">
        <v>18902.988100000006</v>
      </c>
      <c r="J13" s="181">
        <f t="shared" si="4"/>
        <v>50.113966330858972</v>
      </c>
      <c r="K13" s="259">
        <v>40</v>
      </c>
      <c r="L13" s="177">
        <v>1605.97</v>
      </c>
      <c r="M13" s="221">
        <v>789.83</v>
      </c>
      <c r="N13" s="221">
        <f t="shared" si="0"/>
        <v>2395.8000000000002</v>
      </c>
      <c r="O13" s="168">
        <f t="shared" si="5"/>
        <v>59.895000000000003</v>
      </c>
      <c r="P13" s="175"/>
      <c r="Q13" s="239"/>
      <c r="R13" s="222" t="e">
        <f t="shared" si="6"/>
        <v>#DIV/0!</v>
      </c>
      <c r="S13" s="176">
        <v>10</v>
      </c>
      <c r="T13" s="177">
        <v>155.4</v>
      </c>
      <c r="U13" s="177">
        <f t="shared" si="9"/>
        <v>15.540000000000001</v>
      </c>
      <c r="V13" s="176">
        <v>128</v>
      </c>
      <c r="W13" s="167">
        <v>816.83999999999992</v>
      </c>
      <c r="X13" s="197">
        <f t="shared" si="7"/>
        <v>6.3815624999999994</v>
      </c>
      <c r="Y13" s="175">
        <v>464</v>
      </c>
      <c r="Z13" s="165">
        <f t="shared" si="1"/>
        <v>1.1121764141898369</v>
      </c>
      <c r="AA13" s="176">
        <v>3026.45</v>
      </c>
      <c r="AB13" s="165">
        <f t="shared" si="2"/>
        <v>8.0234623541887586</v>
      </c>
      <c r="AC13" s="176"/>
      <c r="AD13" s="235"/>
      <c r="AE13" s="176">
        <v>413.7</v>
      </c>
      <c r="AF13" s="176"/>
      <c r="AG13" s="227">
        <v>106</v>
      </c>
      <c r="AH13" s="236">
        <v>1154.4450000000002</v>
      </c>
      <c r="AI13" s="172">
        <f t="shared" si="10"/>
        <v>10.890990566037738</v>
      </c>
      <c r="AJ13" s="258">
        <f t="shared" si="8"/>
        <v>26539.79310000001</v>
      </c>
    </row>
    <row r="14" spans="1:40" ht="20.100000000000001" customHeight="1" x14ac:dyDescent="0.25">
      <c r="A14" s="163">
        <v>46031</v>
      </c>
      <c r="B14" s="164">
        <v>85</v>
      </c>
      <c r="C14" s="165">
        <v>95</v>
      </c>
      <c r="D14" s="165">
        <v>85</v>
      </c>
      <c r="E14" s="176"/>
      <c r="F14" s="165">
        <v>394</v>
      </c>
      <c r="G14" s="176"/>
      <c r="H14" s="165">
        <f t="shared" si="3"/>
        <v>246.60000000000002</v>
      </c>
      <c r="I14" s="177">
        <v>13160.23</v>
      </c>
      <c r="J14" s="181">
        <f t="shared" si="4"/>
        <v>53.366707218167065</v>
      </c>
      <c r="K14" s="259">
        <v>39</v>
      </c>
      <c r="L14" s="177">
        <v>1630.3200000000002</v>
      </c>
      <c r="M14" s="221">
        <v>675.62</v>
      </c>
      <c r="N14" s="221">
        <f t="shared" si="0"/>
        <v>2305.94</v>
      </c>
      <c r="O14" s="168">
        <f t="shared" si="5"/>
        <v>59.126666666666665</v>
      </c>
      <c r="P14" s="175"/>
      <c r="Q14" s="239"/>
      <c r="R14" s="222" t="e">
        <f t="shared" si="6"/>
        <v>#DIV/0!</v>
      </c>
      <c r="S14" s="176">
        <v>7</v>
      </c>
      <c r="T14" s="177">
        <v>110.24</v>
      </c>
      <c r="U14" s="177">
        <f t="shared" si="9"/>
        <v>15.748571428571427</v>
      </c>
      <c r="V14" s="176">
        <v>2</v>
      </c>
      <c r="W14" s="177">
        <v>13.9</v>
      </c>
      <c r="X14" s="197">
        <f t="shared" si="7"/>
        <v>6.95</v>
      </c>
      <c r="Y14" s="175"/>
      <c r="Z14" s="165">
        <f t="shared" si="1"/>
        <v>0</v>
      </c>
      <c r="AA14" s="176">
        <v>1970.27</v>
      </c>
      <c r="AB14" s="165">
        <f t="shared" si="2"/>
        <v>7.989740470397404</v>
      </c>
      <c r="AC14" s="176">
        <v>679.54</v>
      </c>
      <c r="AD14" s="235"/>
      <c r="AE14" s="176"/>
      <c r="AF14" s="176"/>
      <c r="AG14" s="227">
        <v>106</v>
      </c>
      <c r="AH14" s="228">
        <v>1180.6449999999998</v>
      </c>
      <c r="AI14" s="172">
        <f t="shared" si="10"/>
        <v>11.138160377358489</v>
      </c>
      <c r="AJ14" s="258">
        <f t="shared" si="8"/>
        <v>18745.145</v>
      </c>
    </row>
    <row r="15" spans="1:40" ht="20.100000000000001" customHeight="1" x14ac:dyDescent="0.25">
      <c r="A15" s="163">
        <v>46032</v>
      </c>
      <c r="B15" s="164">
        <v>85</v>
      </c>
      <c r="C15" s="165">
        <v>95</v>
      </c>
      <c r="D15" s="165">
        <v>85</v>
      </c>
      <c r="E15" s="176"/>
      <c r="F15" s="165">
        <v>398</v>
      </c>
      <c r="G15" s="176"/>
      <c r="H15" s="165">
        <f t="shared" si="3"/>
        <v>248.20000000000002</v>
      </c>
      <c r="I15" s="177">
        <v>15500.999999999998</v>
      </c>
      <c r="J15" s="181">
        <f t="shared" si="4"/>
        <v>62.453666398066062</v>
      </c>
      <c r="K15" s="175">
        <v>40</v>
      </c>
      <c r="L15" s="177">
        <v>1639.4749999999999</v>
      </c>
      <c r="M15" s="221">
        <v>697.91</v>
      </c>
      <c r="N15" s="221">
        <f t="shared" si="0"/>
        <v>2337.3849999999998</v>
      </c>
      <c r="O15" s="168">
        <f t="shared" si="5"/>
        <v>58.434624999999997</v>
      </c>
      <c r="P15" s="175"/>
      <c r="Q15" s="239"/>
      <c r="R15" s="222" t="e">
        <f t="shared" si="6"/>
        <v>#DIV/0!</v>
      </c>
      <c r="S15" s="176">
        <v>7</v>
      </c>
      <c r="T15" s="177">
        <v>100</v>
      </c>
      <c r="U15" s="177">
        <f t="shared" si="9"/>
        <v>14.285714285714286</v>
      </c>
      <c r="V15" s="176">
        <v>2</v>
      </c>
      <c r="W15" s="177">
        <v>14.41</v>
      </c>
      <c r="X15" s="197">
        <f t="shared" si="7"/>
        <v>7.2050000000000001</v>
      </c>
      <c r="Y15" s="175">
        <v>608</v>
      </c>
      <c r="Z15" s="165">
        <f t="shared" si="1"/>
        <v>2.1096460791117275</v>
      </c>
      <c r="AA15" s="176">
        <v>2383.8700000000003</v>
      </c>
      <c r="AB15" s="165">
        <f t="shared" si="2"/>
        <v>9.6046333601933931</v>
      </c>
      <c r="AC15" s="176"/>
      <c r="AD15" s="235"/>
      <c r="AE15" s="176">
        <v>907.32</v>
      </c>
      <c r="AF15" s="176"/>
      <c r="AG15" s="227">
        <v>106</v>
      </c>
      <c r="AH15" s="236">
        <v>1145.1100000000001</v>
      </c>
      <c r="AI15" s="172">
        <f t="shared" si="10"/>
        <v>10.802924528301888</v>
      </c>
      <c r="AJ15" s="258">
        <f t="shared" si="8"/>
        <v>22299.184999999998</v>
      </c>
      <c r="AL15" s="241"/>
      <c r="AM15" s="228"/>
      <c r="AN15" s="230"/>
    </row>
    <row r="16" spans="1:40" ht="20.100000000000001" customHeight="1" x14ac:dyDescent="0.25">
      <c r="A16" s="163">
        <v>46033</v>
      </c>
      <c r="B16" s="164">
        <v>200</v>
      </c>
      <c r="C16" s="165">
        <v>210</v>
      </c>
      <c r="D16" s="176">
        <v>205</v>
      </c>
      <c r="E16" s="176"/>
      <c r="F16" s="165">
        <v>389</v>
      </c>
      <c r="G16" s="176"/>
      <c r="H16" s="165">
        <f t="shared" si="3"/>
        <v>361.6</v>
      </c>
      <c r="I16" s="177">
        <v>20574.322500000002</v>
      </c>
      <c r="J16" s="181">
        <f t="shared" si="4"/>
        <v>56.898015763274337</v>
      </c>
      <c r="K16" s="175">
        <v>39</v>
      </c>
      <c r="L16" s="177">
        <v>1590.87</v>
      </c>
      <c r="M16" s="221">
        <v>689.6</v>
      </c>
      <c r="N16" s="221">
        <f t="shared" si="0"/>
        <v>2280.4699999999998</v>
      </c>
      <c r="O16" s="168">
        <f t="shared" si="5"/>
        <v>58.473589743589741</v>
      </c>
      <c r="P16" s="175"/>
      <c r="Q16" s="239"/>
      <c r="R16" s="222" t="e">
        <f t="shared" si="6"/>
        <v>#DIV/0!</v>
      </c>
      <c r="S16" s="176">
        <v>30</v>
      </c>
      <c r="T16" s="177">
        <v>401.81650000000002</v>
      </c>
      <c r="U16" s="177">
        <f t="shared" si="9"/>
        <v>13.393883333333333</v>
      </c>
      <c r="V16" s="176">
        <v>128</v>
      </c>
      <c r="W16" s="177">
        <v>873.34</v>
      </c>
      <c r="X16" s="197">
        <f t="shared" si="7"/>
        <v>6.8229687500000002</v>
      </c>
      <c r="Y16" s="175">
        <v>390</v>
      </c>
      <c r="Z16" s="165">
        <f t="shared" si="1"/>
        <v>0.97353969046430344</v>
      </c>
      <c r="AA16" s="176">
        <v>1940.0500000000002</v>
      </c>
      <c r="AB16" s="165">
        <f t="shared" si="2"/>
        <v>5.3651825221238942</v>
      </c>
      <c r="AC16" s="176"/>
      <c r="AD16" s="235"/>
      <c r="AE16" s="176">
        <v>967.79</v>
      </c>
      <c r="AF16" s="176"/>
      <c r="AG16" s="227">
        <v>106</v>
      </c>
      <c r="AH16" s="228">
        <v>1137.2250000000001</v>
      </c>
      <c r="AI16" s="172">
        <f t="shared" si="10"/>
        <v>10.728537735849057</v>
      </c>
      <c r="AJ16" s="258">
        <f t="shared" si="8"/>
        <v>27875.414000000001</v>
      </c>
    </row>
    <row r="17" spans="1:37" ht="20.100000000000001" customHeight="1" x14ac:dyDescent="0.25">
      <c r="A17" s="163">
        <v>46034</v>
      </c>
      <c r="B17" s="164">
        <v>200</v>
      </c>
      <c r="C17" s="165">
        <v>210</v>
      </c>
      <c r="D17" s="176">
        <v>205</v>
      </c>
      <c r="E17" s="176"/>
      <c r="F17" s="165">
        <v>430</v>
      </c>
      <c r="G17" s="176"/>
      <c r="H17" s="165">
        <f t="shared" si="3"/>
        <v>378</v>
      </c>
      <c r="I17" s="177">
        <v>23214.314999999991</v>
      </c>
      <c r="J17" s="181">
        <f t="shared" si="4"/>
        <v>61.413531746031722</v>
      </c>
      <c r="K17" s="175">
        <v>40</v>
      </c>
      <c r="L17" s="177">
        <v>1638.34</v>
      </c>
      <c r="M17" s="221">
        <v>675.22</v>
      </c>
      <c r="N17" s="221">
        <f t="shared" si="0"/>
        <v>2313.56</v>
      </c>
      <c r="O17" s="168">
        <f t="shared" si="5"/>
        <v>57.838999999999999</v>
      </c>
      <c r="P17" s="175"/>
      <c r="Q17" s="239"/>
      <c r="R17" s="222" t="e">
        <f t="shared" si="6"/>
        <v>#DIV/0!</v>
      </c>
      <c r="S17" s="176">
        <v>20</v>
      </c>
      <c r="T17" s="177">
        <v>265</v>
      </c>
      <c r="U17" s="177">
        <f t="shared" si="9"/>
        <v>13.25</v>
      </c>
      <c r="V17" s="176">
        <v>118</v>
      </c>
      <c r="W17" s="177">
        <v>784.86000000000013</v>
      </c>
      <c r="X17" s="197">
        <f t="shared" si="7"/>
        <v>6.6513559322033906</v>
      </c>
      <c r="Y17" s="175"/>
      <c r="Z17" s="165">
        <f t="shared" si="1"/>
        <v>0</v>
      </c>
      <c r="AA17" s="176">
        <v>1233.6000000000001</v>
      </c>
      <c r="AB17" s="165">
        <f t="shared" si="2"/>
        <v>3.2634920634920639</v>
      </c>
      <c r="AC17" s="176">
        <v>302.38</v>
      </c>
      <c r="AD17" s="235"/>
      <c r="AE17" s="176">
        <v>682.64</v>
      </c>
      <c r="AF17" s="176"/>
      <c r="AG17" s="227">
        <v>106</v>
      </c>
      <c r="AH17" s="236">
        <v>1249.095</v>
      </c>
      <c r="AI17" s="172">
        <f t="shared" si="10"/>
        <v>11.783915094339623</v>
      </c>
      <c r="AJ17" s="258">
        <f t="shared" si="8"/>
        <v>29370.229999999992</v>
      </c>
    </row>
    <row r="18" spans="1:37" ht="20.100000000000001" customHeight="1" x14ac:dyDescent="0.25">
      <c r="A18" s="163">
        <v>46035</v>
      </c>
      <c r="B18" s="164">
        <v>200</v>
      </c>
      <c r="C18" s="165">
        <v>210</v>
      </c>
      <c r="D18" s="165">
        <v>205</v>
      </c>
      <c r="E18" s="176"/>
      <c r="F18" s="165">
        <v>434</v>
      </c>
      <c r="G18" s="176"/>
      <c r="H18" s="165">
        <f t="shared" si="3"/>
        <v>379.6</v>
      </c>
      <c r="I18" s="177">
        <v>22568.300000000007</v>
      </c>
      <c r="J18" s="181">
        <f t="shared" si="4"/>
        <v>59.452845100105385</v>
      </c>
      <c r="K18" s="175">
        <v>40</v>
      </c>
      <c r="L18" s="177">
        <v>1687.72</v>
      </c>
      <c r="M18" s="221">
        <v>704.65</v>
      </c>
      <c r="N18" s="221">
        <f t="shared" si="0"/>
        <v>2392.37</v>
      </c>
      <c r="O18" s="168">
        <f t="shared" si="5"/>
        <v>59.809249999999999</v>
      </c>
      <c r="P18" s="175"/>
      <c r="Q18" s="239"/>
      <c r="R18" s="222" t="e">
        <f t="shared" si="6"/>
        <v>#DIV/0!</v>
      </c>
      <c r="S18" s="176">
        <v>38</v>
      </c>
      <c r="T18" s="177">
        <v>495.91999999999996</v>
      </c>
      <c r="U18" s="177">
        <f t="shared" si="9"/>
        <v>13.050526315789472</v>
      </c>
      <c r="V18" s="176">
        <v>128</v>
      </c>
      <c r="W18" s="177">
        <v>858.25</v>
      </c>
      <c r="X18" s="197">
        <f t="shared" si="7"/>
        <v>6.705078125</v>
      </c>
      <c r="Y18" s="175">
        <v>569.29999999999995</v>
      </c>
      <c r="Z18" s="165">
        <f t="shared" si="1"/>
        <v>1.3567683508102952</v>
      </c>
      <c r="AA18" s="176">
        <v>2959.19</v>
      </c>
      <c r="AB18" s="165">
        <f t="shared" si="2"/>
        <v>7.7955479452054792</v>
      </c>
      <c r="AC18" s="176"/>
      <c r="AD18" s="235"/>
      <c r="AE18" s="176">
        <v>159.6</v>
      </c>
      <c r="AF18" s="176"/>
      <c r="AG18" s="227">
        <v>106</v>
      </c>
      <c r="AH18" s="228">
        <v>1112.7450000000001</v>
      </c>
      <c r="AI18" s="172">
        <f t="shared" si="10"/>
        <v>10.497594339622642</v>
      </c>
      <c r="AJ18" s="258">
        <f t="shared" si="8"/>
        <v>30411.025000000001</v>
      </c>
      <c r="AK18" s="230"/>
    </row>
    <row r="19" spans="1:37" ht="20.100000000000001" customHeight="1" x14ac:dyDescent="0.25">
      <c r="A19" s="163">
        <v>46036</v>
      </c>
      <c r="B19" s="164">
        <v>200</v>
      </c>
      <c r="C19" s="165">
        <v>210</v>
      </c>
      <c r="D19" s="165">
        <v>205</v>
      </c>
      <c r="E19" s="176"/>
      <c r="F19" s="165">
        <v>430</v>
      </c>
      <c r="G19" s="176"/>
      <c r="H19" s="165">
        <f t="shared" si="3"/>
        <v>378</v>
      </c>
      <c r="I19" s="177">
        <v>22557.609100000001</v>
      </c>
      <c r="J19" s="181">
        <f t="shared" si="4"/>
        <v>59.676214550264554</v>
      </c>
      <c r="K19" s="175">
        <v>40</v>
      </c>
      <c r="L19" s="177">
        <v>1637.4250000000004</v>
      </c>
      <c r="M19" s="235">
        <v>674.24</v>
      </c>
      <c r="N19" s="221">
        <f t="shared" si="0"/>
        <v>2311.6650000000004</v>
      </c>
      <c r="O19" s="168">
        <f t="shared" si="5"/>
        <v>57.79162500000001</v>
      </c>
      <c r="P19" s="175"/>
      <c r="Q19" s="239"/>
      <c r="R19" s="222" t="e">
        <f t="shared" si="6"/>
        <v>#DIV/0!</v>
      </c>
      <c r="S19" s="176">
        <v>40</v>
      </c>
      <c r="T19" s="177">
        <v>540</v>
      </c>
      <c r="U19" s="177">
        <f t="shared" si="9"/>
        <v>13.5</v>
      </c>
      <c r="V19" s="176">
        <v>145</v>
      </c>
      <c r="W19" s="177">
        <v>965.12</v>
      </c>
      <c r="X19" s="197">
        <f t="shared" si="7"/>
        <v>6.6559999999999997</v>
      </c>
      <c r="Y19" s="175">
        <v>421.97</v>
      </c>
      <c r="Z19" s="165">
        <f t="shared" si="1"/>
        <v>1.0094976076555024</v>
      </c>
      <c r="AA19" s="176">
        <v>2991.71</v>
      </c>
      <c r="AB19" s="165">
        <f t="shared" si="2"/>
        <v>7.9145767195767194</v>
      </c>
      <c r="AC19" s="176">
        <v>163.39999999999998</v>
      </c>
      <c r="AD19" s="235"/>
      <c r="AE19" s="176"/>
      <c r="AF19" s="176"/>
      <c r="AG19" s="227">
        <v>106</v>
      </c>
      <c r="AH19" s="236">
        <v>1119.2399999999998</v>
      </c>
      <c r="AI19" s="172">
        <f t="shared" si="10"/>
        <v>10.5588679245283</v>
      </c>
      <c r="AJ19" s="258">
        <f t="shared" si="8"/>
        <v>30396.474099999999</v>
      </c>
    </row>
    <row r="20" spans="1:37" ht="20.100000000000001" customHeight="1" x14ac:dyDescent="0.25">
      <c r="A20" s="163">
        <v>46037</v>
      </c>
      <c r="B20" s="164">
        <v>200</v>
      </c>
      <c r="C20" s="165">
        <v>210</v>
      </c>
      <c r="D20" s="165">
        <v>205</v>
      </c>
      <c r="E20" s="176"/>
      <c r="F20" s="165">
        <v>412</v>
      </c>
      <c r="G20" s="176"/>
      <c r="H20" s="165">
        <f t="shared" si="3"/>
        <v>370.8</v>
      </c>
      <c r="I20" s="177">
        <v>24030.610100000005</v>
      </c>
      <c r="J20" s="181">
        <f t="shared" si="4"/>
        <v>64.807470604099251</v>
      </c>
      <c r="K20" s="175">
        <v>41</v>
      </c>
      <c r="L20" s="177">
        <v>1562.95</v>
      </c>
      <c r="M20" s="235">
        <v>709.7</v>
      </c>
      <c r="N20" s="221">
        <f t="shared" si="0"/>
        <v>2272.65</v>
      </c>
      <c r="O20" s="168">
        <f t="shared" si="5"/>
        <v>55.430487804878048</v>
      </c>
      <c r="P20" s="175"/>
      <c r="Q20" s="239"/>
      <c r="R20" s="222" t="e">
        <f t="shared" si="6"/>
        <v>#DIV/0!</v>
      </c>
      <c r="S20" s="176">
        <v>25</v>
      </c>
      <c r="T20" s="177">
        <v>346.4</v>
      </c>
      <c r="U20" s="177">
        <f t="shared" si="9"/>
        <v>13.856</v>
      </c>
      <c r="V20" s="176">
        <v>125</v>
      </c>
      <c r="W20" s="177">
        <v>821.2</v>
      </c>
      <c r="X20" s="197">
        <f t="shared" si="7"/>
        <v>6.5696000000000003</v>
      </c>
      <c r="Y20" s="175">
        <v>798.28</v>
      </c>
      <c r="Z20" s="165">
        <f t="shared" si="1"/>
        <v>1.9385138416707137</v>
      </c>
      <c r="AA20" s="176">
        <v>2404.3900000000003</v>
      </c>
      <c r="AB20" s="165">
        <f t="shared" si="2"/>
        <v>6.4843311758360311</v>
      </c>
      <c r="AC20" s="176"/>
      <c r="AD20" s="235"/>
      <c r="AE20" s="176">
        <v>8255.4</v>
      </c>
      <c r="AF20" s="176"/>
      <c r="AG20" s="227">
        <v>106</v>
      </c>
      <c r="AH20" s="228">
        <v>1137</v>
      </c>
      <c r="AI20" s="172">
        <f t="shared" si="10"/>
        <v>10.726415094339623</v>
      </c>
      <c r="AJ20" s="258">
        <f t="shared" si="8"/>
        <v>39356.230100000008</v>
      </c>
    </row>
    <row r="21" spans="1:37" ht="20.100000000000001" customHeight="1" x14ac:dyDescent="0.25">
      <c r="A21" s="163">
        <v>46038</v>
      </c>
      <c r="B21" s="164">
        <v>85</v>
      </c>
      <c r="C21" s="165">
        <v>95</v>
      </c>
      <c r="D21" s="165">
        <v>85</v>
      </c>
      <c r="E21" s="176"/>
      <c r="F21" s="165">
        <v>375</v>
      </c>
      <c r="G21" s="176"/>
      <c r="H21" s="165">
        <f t="shared" si="3"/>
        <v>239</v>
      </c>
      <c r="I21" s="177">
        <v>15829.360000000002</v>
      </c>
      <c r="J21" s="181">
        <f t="shared" si="4"/>
        <v>66.231631799163196</v>
      </c>
      <c r="K21" s="175">
        <v>41</v>
      </c>
      <c r="L21" s="177">
        <v>1620.38</v>
      </c>
      <c r="M21" s="221">
        <v>681.78</v>
      </c>
      <c r="N21" s="221">
        <f t="shared" si="0"/>
        <v>2302.16</v>
      </c>
      <c r="O21" s="168">
        <f t="shared" si="5"/>
        <v>56.150243902439023</v>
      </c>
      <c r="P21" s="175"/>
      <c r="Q21" s="239"/>
      <c r="R21" s="222" t="e">
        <f t="shared" si="6"/>
        <v>#DIV/0!</v>
      </c>
      <c r="S21" s="176">
        <v>7</v>
      </c>
      <c r="T21" s="177">
        <v>92.37</v>
      </c>
      <c r="U21" s="177">
        <f t="shared" si="9"/>
        <v>13.195714285714287</v>
      </c>
      <c r="V21" s="176">
        <v>2</v>
      </c>
      <c r="W21" s="177">
        <v>13.419999999999995</v>
      </c>
      <c r="X21" s="197">
        <f t="shared" si="7"/>
        <v>6.7099999999999973</v>
      </c>
      <c r="Y21" s="175">
        <v>312</v>
      </c>
      <c r="Z21" s="165">
        <f t="shared" si="1"/>
        <v>1.1142857142857143</v>
      </c>
      <c r="AA21" s="176">
        <v>2601.88</v>
      </c>
      <c r="AB21" s="165">
        <f t="shared" si="2"/>
        <v>10.88652719665272</v>
      </c>
      <c r="AC21" s="176">
        <v>404.76</v>
      </c>
      <c r="AD21" s="235"/>
      <c r="AE21" s="176">
        <v>540</v>
      </c>
      <c r="AF21" s="176"/>
      <c r="AG21" s="227">
        <v>106</v>
      </c>
      <c r="AH21" s="236">
        <v>1101.5299999999997</v>
      </c>
      <c r="AI21" s="172">
        <f t="shared" si="10"/>
        <v>10.391792452830186</v>
      </c>
      <c r="AJ21" s="258">
        <f t="shared" si="8"/>
        <v>22515.699999999997</v>
      </c>
    </row>
    <row r="22" spans="1:37" ht="20.100000000000001" customHeight="1" x14ac:dyDescent="0.25">
      <c r="A22" s="163">
        <v>46039</v>
      </c>
      <c r="B22" s="164">
        <v>85</v>
      </c>
      <c r="C22" s="165">
        <v>95</v>
      </c>
      <c r="D22" s="165">
        <v>85</v>
      </c>
      <c r="E22" s="176"/>
      <c r="F22" s="165">
        <v>361</v>
      </c>
      <c r="G22" s="176"/>
      <c r="H22" s="165">
        <f t="shared" si="3"/>
        <v>233.4</v>
      </c>
      <c r="I22" s="177">
        <v>14909.13</v>
      </c>
      <c r="J22" s="181">
        <f t="shared" si="4"/>
        <v>63.878020565552696</v>
      </c>
      <c r="K22" s="175">
        <v>40</v>
      </c>
      <c r="L22" s="177">
        <v>1541.76</v>
      </c>
      <c r="M22" s="221">
        <v>672.77</v>
      </c>
      <c r="N22" s="221">
        <f t="shared" si="0"/>
        <v>2214.5299999999997</v>
      </c>
      <c r="O22" s="168">
        <f t="shared" si="5"/>
        <v>55.363249999999994</v>
      </c>
      <c r="P22" s="175"/>
      <c r="Q22" s="239"/>
      <c r="R22" s="222" t="e">
        <f t="shared" si="6"/>
        <v>#DIV/0!</v>
      </c>
      <c r="S22" s="176">
        <v>7</v>
      </c>
      <c r="T22" s="177">
        <v>100.87</v>
      </c>
      <c r="U22" s="177">
        <f t="shared" si="9"/>
        <v>14.41</v>
      </c>
      <c r="V22" s="176">
        <v>2</v>
      </c>
      <c r="W22" s="177">
        <v>14.64</v>
      </c>
      <c r="X22" s="197">
        <f t="shared" si="7"/>
        <v>7.32</v>
      </c>
      <c r="Y22" s="175"/>
      <c r="Z22" s="165">
        <f t="shared" si="1"/>
        <v>0</v>
      </c>
      <c r="AA22" s="176">
        <v>2296.6799999999998</v>
      </c>
      <c r="AB22" s="165">
        <f t="shared" si="2"/>
        <v>9.840102827763495</v>
      </c>
      <c r="AC22" s="176"/>
      <c r="AD22" s="235"/>
      <c r="AE22" s="176"/>
      <c r="AF22" s="176"/>
      <c r="AG22" s="227">
        <v>106</v>
      </c>
      <c r="AH22" s="228">
        <v>1117.1300000000001</v>
      </c>
      <c r="AI22" s="172">
        <f t="shared" si="10"/>
        <v>10.538962264150944</v>
      </c>
      <c r="AJ22" s="258">
        <f t="shared" si="8"/>
        <v>19980.21</v>
      </c>
    </row>
    <row r="23" spans="1:37" ht="20.100000000000001" customHeight="1" x14ac:dyDescent="0.25">
      <c r="A23" s="163">
        <v>46040</v>
      </c>
      <c r="B23" s="164">
        <v>200</v>
      </c>
      <c r="C23" s="165">
        <v>210</v>
      </c>
      <c r="D23" s="176">
        <v>255</v>
      </c>
      <c r="E23" s="176"/>
      <c r="F23" s="165">
        <v>409</v>
      </c>
      <c r="G23" s="176"/>
      <c r="H23" s="165">
        <f t="shared" si="3"/>
        <v>389.6</v>
      </c>
      <c r="I23" s="177">
        <v>23701.312799999996</v>
      </c>
      <c r="J23" s="181">
        <f t="shared" si="4"/>
        <v>60.834991786447624</v>
      </c>
      <c r="K23" s="175">
        <v>40</v>
      </c>
      <c r="L23" s="177">
        <v>1661.33</v>
      </c>
      <c r="M23" s="221">
        <v>659.61</v>
      </c>
      <c r="N23" s="221">
        <f t="shared" si="0"/>
        <v>2320.94</v>
      </c>
      <c r="O23" s="168">
        <f t="shared" si="5"/>
        <v>58.023499999999999</v>
      </c>
      <c r="P23" s="175"/>
      <c r="Q23" s="239"/>
      <c r="R23" s="222" t="e">
        <f t="shared" si="6"/>
        <v>#DIV/0!</v>
      </c>
      <c r="S23" s="176">
        <v>43</v>
      </c>
      <c r="T23" s="177">
        <v>613.67000000000007</v>
      </c>
      <c r="U23" s="177">
        <f t="shared" si="9"/>
        <v>14.271395348837212</v>
      </c>
      <c r="V23" s="176">
        <v>274</v>
      </c>
      <c r="W23" s="177">
        <v>1935.0800000000002</v>
      </c>
      <c r="X23" s="197">
        <f t="shared" si="7"/>
        <v>7.0623357664233586</v>
      </c>
      <c r="Y23" s="175">
        <v>738.4</v>
      </c>
      <c r="Z23" s="165">
        <f t="shared" si="1"/>
        <v>1.7188081936685287</v>
      </c>
      <c r="AA23" s="176">
        <v>2038.39</v>
      </c>
      <c r="AB23" s="165">
        <f t="shared" si="2"/>
        <v>5.2320071868583158</v>
      </c>
      <c r="AC23" s="176"/>
      <c r="AD23" s="235"/>
      <c r="AE23" s="176"/>
      <c r="AF23" s="176"/>
      <c r="AG23" s="227">
        <v>106</v>
      </c>
      <c r="AH23" s="236">
        <v>1141.1350000000002</v>
      </c>
      <c r="AI23" s="172">
        <f t="shared" si="10"/>
        <v>10.765424528301889</v>
      </c>
      <c r="AJ23" s="258">
        <f t="shared" si="8"/>
        <v>31829.317799999997</v>
      </c>
    </row>
    <row r="24" spans="1:37" ht="20.100000000000001" customHeight="1" x14ac:dyDescent="0.25">
      <c r="A24" s="163">
        <v>46041</v>
      </c>
      <c r="B24" s="164">
        <v>200</v>
      </c>
      <c r="C24" s="165">
        <v>210</v>
      </c>
      <c r="D24" s="176">
        <v>233</v>
      </c>
      <c r="E24" s="176"/>
      <c r="F24" s="165">
        <v>412</v>
      </c>
      <c r="G24" s="176"/>
      <c r="H24" s="165">
        <f t="shared" si="3"/>
        <v>382</v>
      </c>
      <c r="I24" s="177">
        <v>24294.444200000005</v>
      </c>
      <c r="J24" s="181">
        <f t="shared" si="4"/>
        <v>63.5980214659686</v>
      </c>
      <c r="K24" s="175">
        <v>40</v>
      </c>
      <c r="L24" s="177">
        <v>1555.6100000000001</v>
      </c>
      <c r="M24" s="221">
        <v>690.74</v>
      </c>
      <c r="N24" s="221">
        <f t="shared" si="0"/>
        <v>2246.3500000000004</v>
      </c>
      <c r="O24" s="168">
        <f t="shared" si="5"/>
        <v>56.158750000000012</v>
      </c>
      <c r="P24" s="175"/>
      <c r="Q24" s="239"/>
      <c r="R24" s="222" t="e">
        <f t="shared" si="6"/>
        <v>#DIV/0!</v>
      </c>
      <c r="S24" s="176">
        <v>39</v>
      </c>
      <c r="T24" s="177">
        <v>567.05999999999995</v>
      </c>
      <c r="U24" s="177">
        <f t="shared" si="9"/>
        <v>14.54</v>
      </c>
      <c r="V24" s="176">
        <v>130</v>
      </c>
      <c r="W24" s="177">
        <v>855.55</v>
      </c>
      <c r="X24" s="197">
        <f t="shared" si="7"/>
        <v>6.5811538461538461</v>
      </c>
      <c r="Y24" s="175">
        <v>333.20000000000005</v>
      </c>
      <c r="Z24" s="165">
        <f t="shared" si="1"/>
        <v>0.78957345971563997</v>
      </c>
      <c r="AA24" s="176">
        <v>2034.7599999999998</v>
      </c>
      <c r="AB24" s="165">
        <f t="shared" si="2"/>
        <v>5.3265968586387427</v>
      </c>
      <c r="AC24" s="176"/>
      <c r="AD24" s="235"/>
      <c r="AE24" s="176">
        <v>2910.49</v>
      </c>
      <c r="AF24" s="176">
        <v>4134</v>
      </c>
      <c r="AG24" s="227">
        <v>106</v>
      </c>
      <c r="AH24" s="260">
        <v>981.38</v>
      </c>
      <c r="AI24" s="172">
        <f t="shared" si="10"/>
        <v>9.2583018867924523</v>
      </c>
      <c r="AJ24" s="258">
        <f t="shared" si="8"/>
        <v>37666.494200000001</v>
      </c>
    </row>
    <row r="25" spans="1:37" ht="20.100000000000001" customHeight="1" x14ac:dyDescent="0.25">
      <c r="A25" s="163">
        <v>46042</v>
      </c>
      <c r="B25" s="164">
        <v>200</v>
      </c>
      <c r="C25" s="165">
        <v>210</v>
      </c>
      <c r="D25" s="176">
        <v>217</v>
      </c>
      <c r="E25" s="176"/>
      <c r="F25" s="165">
        <v>412</v>
      </c>
      <c r="G25" s="176"/>
      <c r="H25" s="165">
        <f t="shared" si="3"/>
        <v>375.6</v>
      </c>
      <c r="I25" s="177">
        <v>23559.043599999997</v>
      </c>
      <c r="J25" s="181">
        <f t="shared" si="4"/>
        <v>62.723758253461121</v>
      </c>
      <c r="K25" s="175">
        <v>40</v>
      </c>
      <c r="L25" s="177">
        <v>1639.6449999999995</v>
      </c>
      <c r="M25" s="221">
        <v>672.91</v>
      </c>
      <c r="N25" s="221">
        <f t="shared" si="0"/>
        <v>2312.5549999999994</v>
      </c>
      <c r="O25" s="168">
        <f t="shared" si="5"/>
        <v>57.813874999999982</v>
      </c>
      <c r="P25" s="175"/>
      <c r="Q25" s="239"/>
      <c r="R25" s="222" t="e">
        <f t="shared" si="6"/>
        <v>#DIV/0!</v>
      </c>
      <c r="S25" s="176">
        <v>41</v>
      </c>
      <c r="T25" s="177">
        <v>230.28</v>
      </c>
      <c r="U25" s="177">
        <f t="shared" si="9"/>
        <v>5.6165853658536582</v>
      </c>
      <c r="V25" s="176">
        <v>132</v>
      </c>
      <c r="W25" s="177">
        <v>915.60000000000014</v>
      </c>
      <c r="X25" s="197">
        <f t="shared" si="7"/>
        <v>6.9363636363636374</v>
      </c>
      <c r="Y25" s="175">
        <v>400</v>
      </c>
      <c r="Z25" s="165">
        <f t="shared" si="1"/>
        <v>0.96246390760346479</v>
      </c>
      <c r="AA25" s="176">
        <v>2047.4199999999996</v>
      </c>
      <c r="AB25" s="165">
        <f t="shared" si="2"/>
        <v>5.4510649627263028</v>
      </c>
      <c r="AC25" s="176">
        <v>191.94</v>
      </c>
      <c r="AD25" s="235"/>
      <c r="AE25" s="176"/>
      <c r="AF25" s="176"/>
      <c r="AG25" s="227">
        <v>106</v>
      </c>
      <c r="AH25" s="260">
        <v>1201.06</v>
      </c>
      <c r="AI25" s="172">
        <f t="shared" si="10"/>
        <v>11.330754716981131</v>
      </c>
      <c r="AJ25" s="258">
        <f t="shared" si="8"/>
        <v>30184.988599999993</v>
      </c>
    </row>
    <row r="26" spans="1:37" ht="20.100000000000001" customHeight="1" x14ac:dyDescent="0.25">
      <c r="A26" s="163">
        <v>46043</v>
      </c>
      <c r="B26" s="164">
        <v>200</v>
      </c>
      <c r="C26" s="165">
        <v>210</v>
      </c>
      <c r="D26" s="176">
        <v>205</v>
      </c>
      <c r="E26" s="176"/>
      <c r="F26" s="165">
        <v>426</v>
      </c>
      <c r="G26" s="176"/>
      <c r="H26" s="165">
        <f t="shared" si="3"/>
        <v>376.40000000000003</v>
      </c>
      <c r="I26" s="177">
        <v>22858.804000000004</v>
      </c>
      <c r="J26" s="181">
        <f t="shared" si="4"/>
        <v>60.730085015940496</v>
      </c>
      <c r="K26" s="175">
        <v>41</v>
      </c>
      <c r="L26" s="177">
        <v>1583.69</v>
      </c>
      <c r="M26" s="221">
        <v>712.05</v>
      </c>
      <c r="N26" s="221">
        <f t="shared" si="0"/>
        <v>2295.7399999999998</v>
      </c>
      <c r="O26" s="168">
        <f t="shared" si="5"/>
        <v>55.993658536585357</v>
      </c>
      <c r="P26" s="175"/>
      <c r="Q26" s="239"/>
      <c r="R26" s="222" t="e">
        <f t="shared" si="6"/>
        <v>#DIV/0!</v>
      </c>
      <c r="S26" s="176">
        <v>24</v>
      </c>
      <c r="T26" s="177">
        <v>351.79999999999995</v>
      </c>
      <c r="U26" s="177">
        <f t="shared" si="9"/>
        <v>14.658333333333331</v>
      </c>
      <c r="V26" s="176">
        <v>125</v>
      </c>
      <c r="W26" s="177">
        <v>943.15</v>
      </c>
      <c r="X26" s="197">
        <f t="shared" si="7"/>
        <v>7.5451999999999995</v>
      </c>
      <c r="Y26" s="175">
        <v>563.98</v>
      </c>
      <c r="Z26" s="165">
        <f t="shared" si="1"/>
        <v>1.3511739338763775</v>
      </c>
      <c r="AA26" s="176">
        <v>2109.4699999999998</v>
      </c>
      <c r="AB26" s="165">
        <f t="shared" si="2"/>
        <v>5.6043304994686496</v>
      </c>
      <c r="AC26" s="176"/>
      <c r="AD26" s="235"/>
      <c r="AE26" s="176">
        <v>2100</v>
      </c>
      <c r="AF26" s="176"/>
      <c r="AG26" s="227">
        <v>106</v>
      </c>
      <c r="AH26" s="260">
        <v>1160.01</v>
      </c>
      <c r="AI26" s="172">
        <f t="shared" si="10"/>
        <v>10.943490566037736</v>
      </c>
      <c r="AJ26" s="258">
        <f t="shared" si="8"/>
        <v>31670.904000000002</v>
      </c>
    </row>
    <row r="27" spans="1:37" ht="20.100000000000001" customHeight="1" x14ac:dyDescent="0.25">
      <c r="A27" s="163">
        <v>46044</v>
      </c>
      <c r="B27" s="164">
        <v>200</v>
      </c>
      <c r="C27" s="165">
        <v>210</v>
      </c>
      <c r="D27" s="176">
        <v>205</v>
      </c>
      <c r="E27" s="176"/>
      <c r="F27" s="165">
        <v>409</v>
      </c>
      <c r="G27" s="176"/>
      <c r="H27" s="165">
        <f t="shared" si="3"/>
        <v>369.6</v>
      </c>
      <c r="I27" s="177">
        <v>22747.500200000009</v>
      </c>
      <c r="J27" s="181">
        <f t="shared" si="4"/>
        <v>61.546266774891798</v>
      </c>
      <c r="K27" s="175">
        <v>41</v>
      </c>
      <c r="L27" s="177">
        <v>1637.96</v>
      </c>
      <c r="M27" s="221">
        <v>684.34</v>
      </c>
      <c r="N27" s="221">
        <f t="shared" si="0"/>
        <v>2322.3000000000002</v>
      </c>
      <c r="O27" s="168">
        <f t="shared" si="5"/>
        <v>56.641463414634153</v>
      </c>
      <c r="P27" s="175"/>
      <c r="Q27" s="239"/>
      <c r="R27" s="222" t="e">
        <f t="shared" si="6"/>
        <v>#DIV/0!</v>
      </c>
      <c r="S27" s="176">
        <v>24</v>
      </c>
      <c r="T27" s="177">
        <v>325.90000000000003</v>
      </c>
      <c r="U27" s="177">
        <f t="shared" si="9"/>
        <v>13.579166666666667</v>
      </c>
      <c r="V27" s="176">
        <v>128</v>
      </c>
      <c r="W27" s="177">
        <v>671.73</v>
      </c>
      <c r="X27" s="197">
        <f t="shared" si="7"/>
        <v>5.2478906250000001</v>
      </c>
      <c r="Y27" s="175">
        <v>404</v>
      </c>
      <c r="Z27" s="165">
        <f t="shared" si="1"/>
        <v>0.98392596200681925</v>
      </c>
      <c r="AA27" s="176">
        <v>2206.9700000000003</v>
      </c>
      <c r="AB27" s="165">
        <f t="shared" si="2"/>
        <v>5.9712391774891778</v>
      </c>
      <c r="AC27" s="176">
        <v>472.02</v>
      </c>
      <c r="AD27" s="235"/>
      <c r="AE27" s="176"/>
      <c r="AF27" s="176"/>
      <c r="AG27" s="227">
        <v>106</v>
      </c>
      <c r="AH27" s="260">
        <v>1107.385</v>
      </c>
      <c r="AI27" s="172">
        <f t="shared" si="10"/>
        <v>10.447028301886792</v>
      </c>
      <c r="AJ27" s="258">
        <f t="shared" si="8"/>
        <v>29573.46520000001</v>
      </c>
    </row>
    <row r="28" spans="1:37" ht="20.100000000000001" customHeight="1" x14ac:dyDescent="0.25">
      <c r="A28" s="163">
        <v>46045</v>
      </c>
      <c r="B28" s="164">
        <v>85</v>
      </c>
      <c r="C28" s="165">
        <v>95</v>
      </c>
      <c r="D28" s="165">
        <v>85</v>
      </c>
      <c r="E28" s="176"/>
      <c r="F28" s="165">
        <v>374</v>
      </c>
      <c r="G28" s="176"/>
      <c r="H28" s="165">
        <f t="shared" si="3"/>
        <v>238.60000000000002</v>
      </c>
      <c r="I28" s="177">
        <v>13646.019999999999</v>
      </c>
      <c r="J28" s="181">
        <f t="shared" si="4"/>
        <v>57.192036881810552</v>
      </c>
      <c r="K28" s="175">
        <v>41</v>
      </c>
      <c r="L28" s="177">
        <v>1505.53</v>
      </c>
      <c r="M28" s="221">
        <v>712.49</v>
      </c>
      <c r="N28" s="221">
        <f t="shared" si="0"/>
        <v>2218.02</v>
      </c>
      <c r="O28" s="168">
        <f t="shared" si="5"/>
        <v>54.098048780487801</v>
      </c>
      <c r="P28" s="175"/>
      <c r="Q28" s="239"/>
      <c r="R28" s="222" t="e">
        <f t="shared" si="6"/>
        <v>#DIV/0!</v>
      </c>
      <c r="S28" s="176">
        <v>7</v>
      </c>
      <c r="T28" s="177">
        <v>97.6</v>
      </c>
      <c r="U28" s="177">
        <f t="shared" si="9"/>
        <v>13.942857142857141</v>
      </c>
      <c r="V28" s="176">
        <v>2</v>
      </c>
      <c r="W28" s="177">
        <v>14.64</v>
      </c>
      <c r="X28" s="197">
        <f t="shared" si="7"/>
        <v>7.32</v>
      </c>
      <c r="Y28" s="175">
        <v>644</v>
      </c>
      <c r="Z28" s="165">
        <f t="shared" si="1"/>
        <v>2.3032904148783975</v>
      </c>
      <c r="AA28" s="176">
        <v>2331.9</v>
      </c>
      <c r="AB28" s="165">
        <f t="shared" si="2"/>
        <v>9.773260687342832</v>
      </c>
      <c r="AC28" s="176">
        <v>422.3</v>
      </c>
      <c r="AD28" s="235"/>
      <c r="AE28" s="176"/>
      <c r="AF28" s="176"/>
      <c r="AG28" s="227">
        <v>106</v>
      </c>
      <c r="AH28" s="260">
        <v>1214.6700000000003</v>
      </c>
      <c r="AI28" s="172">
        <f t="shared" si="10"/>
        <v>11.45915094339623</v>
      </c>
      <c r="AJ28" s="258">
        <f t="shared" si="8"/>
        <v>19876.66</v>
      </c>
    </row>
    <row r="29" spans="1:37" ht="20.100000000000001" customHeight="1" x14ac:dyDescent="0.25">
      <c r="A29" s="163">
        <v>46046</v>
      </c>
      <c r="B29" s="164">
        <v>85</v>
      </c>
      <c r="C29" s="165">
        <v>95</v>
      </c>
      <c r="D29" s="165">
        <v>85</v>
      </c>
      <c r="E29" s="176"/>
      <c r="F29" s="165">
        <v>369</v>
      </c>
      <c r="G29" s="176"/>
      <c r="H29" s="165">
        <f t="shared" si="3"/>
        <v>236.60000000000002</v>
      </c>
      <c r="I29" s="177">
        <v>16405.82</v>
      </c>
      <c r="J29" s="181">
        <f t="shared" si="4"/>
        <v>69.339898562975478</v>
      </c>
      <c r="K29" s="175">
        <v>41</v>
      </c>
      <c r="L29" s="177">
        <v>1625.0499999999997</v>
      </c>
      <c r="M29" s="221">
        <v>683.62</v>
      </c>
      <c r="N29" s="221">
        <f t="shared" si="0"/>
        <v>2308.6699999999996</v>
      </c>
      <c r="O29" s="168">
        <f t="shared" si="5"/>
        <v>56.309024390243891</v>
      </c>
      <c r="P29" s="175"/>
      <c r="Q29" s="239"/>
      <c r="R29" s="222" t="e">
        <f t="shared" si="6"/>
        <v>#DIV/0!</v>
      </c>
      <c r="S29" s="176">
        <v>7</v>
      </c>
      <c r="T29" s="177">
        <v>99.3</v>
      </c>
      <c r="U29" s="177">
        <f t="shared" si="9"/>
        <v>14.185714285714285</v>
      </c>
      <c r="V29" s="176">
        <v>2</v>
      </c>
      <c r="W29" s="177">
        <v>13.24</v>
      </c>
      <c r="X29" s="197">
        <f t="shared" si="7"/>
        <v>6.62</v>
      </c>
      <c r="Y29" s="175">
        <v>468</v>
      </c>
      <c r="Z29" s="165">
        <f t="shared" si="1"/>
        <v>1.6858789625360229</v>
      </c>
      <c r="AA29" s="176">
        <v>1922.86</v>
      </c>
      <c r="AB29" s="165">
        <f t="shared" si="2"/>
        <v>8.1270498732037186</v>
      </c>
      <c r="AC29" s="176"/>
      <c r="AD29" s="235"/>
      <c r="AE29" s="176"/>
      <c r="AF29" s="176"/>
      <c r="AG29" s="227">
        <v>106</v>
      </c>
      <c r="AH29" s="260">
        <v>1113.095</v>
      </c>
      <c r="AI29" s="172">
        <f t="shared" si="10"/>
        <v>10.500896226415094</v>
      </c>
      <c r="AJ29" s="258">
        <f t="shared" si="8"/>
        <v>21647.365000000002</v>
      </c>
    </row>
    <row r="30" spans="1:37" ht="20.100000000000001" customHeight="1" x14ac:dyDescent="0.25">
      <c r="A30" s="163">
        <v>46047</v>
      </c>
      <c r="B30" s="164">
        <v>200</v>
      </c>
      <c r="C30" s="165">
        <v>210</v>
      </c>
      <c r="D30" s="176">
        <v>251</v>
      </c>
      <c r="E30" s="176"/>
      <c r="F30" s="165">
        <v>427</v>
      </c>
      <c r="G30" s="176"/>
      <c r="H30" s="165">
        <f t="shared" si="3"/>
        <v>395.20000000000005</v>
      </c>
      <c r="I30" s="177">
        <v>26116.504699999998</v>
      </c>
      <c r="J30" s="181">
        <f t="shared" si="4"/>
        <v>66.08427302631577</v>
      </c>
      <c r="K30" s="175">
        <v>41</v>
      </c>
      <c r="L30" s="177">
        <v>1561.5481500000001</v>
      </c>
      <c r="M30" s="221">
        <v>619.70000000000005</v>
      </c>
      <c r="N30" s="221">
        <f t="shared" si="0"/>
        <v>2181.2481500000004</v>
      </c>
      <c r="O30" s="168">
        <f t="shared" si="5"/>
        <v>53.201174390243914</v>
      </c>
      <c r="P30" s="175"/>
      <c r="Q30" s="239"/>
      <c r="R30" s="222" t="e">
        <f t="shared" si="6"/>
        <v>#DIV/0!</v>
      </c>
      <c r="S30" s="176">
        <v>42</v>
      </c>
      <c r="T30" s="177">
        <v>424.56</v>
      </c>
      <c r="U30" s="177">
        <f t="shared" si="9"/>
        <v>10.108571428571429</v>
      </c>
      <c r="V30" s="176">
        <v>274</v>
      </c>
      <c r="W30" s="177">
        <v>1894.35</v>
      </c>
      <c r="X30" s="197">
        <f t="shared" si="7"/>
        <v>6.9136861313868607</v>
      </c>
      <c r="Y30" s="175">
        <v>524</v>
      </c>
      <c r="Z30" s="165">
        <f t="shared" si="1"/>
        <v>1.2012838147638696</v>
      </c>
      <c r="AA30" s="176">
        <v>2796.3</v>
      </c>
      <c r="AB30" s="165">
        <f t="shared" si="2"/>
        <v>7.0756578947368416</v>
      </c>
      <c r="AC30" s="176"/>
      <c r="AD30" s="235"/>
      <c r="AE30" s="235"/>
      <c r="AF30" s="176"/>
      <c r="AG30" s="227">
        <v>106</v>
      </c>
      <c r="AH30" s="260">
        <v>1081.04</v>
      </c>
      <c r="AI30" s="172">
        <f t="shared" si="10"/>
        <v>10.198490566037735</v>
      </c>
      <c r="AJ30" s="258">
        <f t="shared" si="8"/>
        <v>34398.30285</v>
      </c>
    </row>
    <row r="31" spans="1:37" ht="20.100000000000001" customHeight="1" x14ac:dyDescent="0.25">
      <c r="A31" s="163">
        <v>46048</v>
      </c>
      <c r="B31" s="164">
        <v>200</v>
      </c>
      <c r="C31" s="165">
        <v>210</v>
      </c>
      <c r="D31" s="176">
        <v>232</v>
      </c>
      <c r="E31" s="176"/>
      <c r="F31" s="165">
        <v>427</v>
      </c>
      <c r="G31" s="176"/>
      <c r="H31" s="165">
        <f t="shared" si="3"/>
        <v>387.6</v>
      </c>
      <c r="I31" s="177">
        <v>24223.080300000005</v>
      </c>
      <c r="J31" s="181">
        <f t="shared" si="4"/>
        <v>62.4950472136223</v>
      </c>
      <c r="K31" s="175">
        <v>40</v>
      </c>
      <c r="L31" s="177">
        <v>1552.6499999999996</v>
      </c>
      <c r="M31" s="221">
        <v>593.42999999999995</v>
      </c>
      <c r="N31" s="221">
        <f t="shared" si="0"/>
        <v>2146.0799999999995</v>
      </c>
      <c r="O31" s="168">
        <f t="shared" si="5"/>
        <v>53.651999999999987</v>
      </c>
      <c r="P31" s="175"/>
      <c r="Q31" s="239"/>
      <c r="R31" s="222" t="e">
        <f t="shared" si="6"/>
        <v>#DIV/0!</v>
      </c>
      <c r="S31" s="176">
        <v>40</v>
      </c>
      <c r="T31" s="176">
        <v>699.4</v>
      </c>
      <c r="U31" s="177">
        <f t="shared" si="9"/>
        <v>17.484999999999999</v>
      </c>
      <c r="V31" s="176">
        <v>130</v>
      </c>
      <c r="W31" s="177">
        <v>749.4</v>
      </c>
      <c r="X31" s="197">
        <f t="shared" si="7"/>
        <v>5.764615384615384</v>
      </c>
      <c r="Y31" s="175">
        <v>290</v>
      </c>
      <c r="Z31" s="165">
        <f t="shared" si="1"/>
        <v>0.67820392890551917</v>
      </c>
      <c r="AA31" s="176">
        <v>1787.4599999999998</v>
      </c>
      <c r="AB31" s="165">
        <f t="shared" si="2"/>
        <v>4.6116099071207426</v>
      </c>
      <c r="AC31" s="176">
        <v>287.49</v>
      </c>
      <c r="AD31" s="235"/>
      <c r="AE31" s="176">
        <v>48.96</v>
      </c>
      <c r="AF31" s="176"/>
      <c r="AG31" s="227">
        <v>106</v>
      </c>
      <c r="AH31" s="260">
        <v>1157.4849999999999</v>
      </c>
      <c r="AI31" s="172">
        <f t="shared" si="10"/>
        <v>10.919669811320754</v>
      </c>
      <c r="AJ31" s="258">
        <f t="shared" si="8"/>
        <v>30795.925300000006</v>
      </c>
    </row>
    <row r="32" spans="1:37" ht="20.100000000000001" customHeight="1" x14ac:dyDescent="0.25">
      <c r="A32" s="163">
        <v>46049</v>
      </c>
      <c r="B32" s="164">
        <v>193</v>
      </c>
      <c r="C32" s="165">
        <v>204</v>
      </c>
      <c r="D32" s="176">
        <v>235</v>
      </c>
      <c r="E32" s="176"/>
      <c r="F32" s="165">
        <v>426</v>
      </c>
      <c r="G32" s="176"/>
      <c r="H32" s="165">
        <f t="shared" si="3"/>
        <v>384.6</v>
      </c>
      <c r="I32" s="177">
        <v>24242.386200000001</v>
      </c>
      <c r="J32" s="181">
        <f t="shared" si="4"/>
        <v>63.032725429017162</v>
      </c>
      <c r="K32" s="175">
        <v>40</v>
      </c>
      <c r="L32" s="177">
        <v>1857.1250000000002</v>
      </c>
      <c r="M32" s="221"/>
      <c r="N32" s="221">
        <f t="shared" si="0"/>
        <v>1857.1250000000002</v>
      </c>
      <c r="O32" s="168">
        <f t="shared" si="5"/>
        <v>46.428125000000009</v>
      </c>
      <c r="P32" s="175"/>
      <c r="Q32" s="239"/>
      <c r="R32" s="222" t="e">
        <f t="shared" si="6"/>
        <v>#DIV/0!</v>
      </c>
      <c r="S32" s="176">
        <v>40</v>
      </c>
      <c r="T32" s="177">
        <v>578.02</v>
      </c>
      <c r="U32" s="177">
        <f t="shared" si="9"/>
        <v>14.4505</v>
      </c>
      <c r="V32" s="176">
        <v>132</v>
      </c>
      <c r="W32" s="177">
        <v>828.1</v>
      </c>
      <c r="X32" s="197">
        <f t="shared" si="7"/>
        <v>6.2734848484848484</v>
      </c>
      <c r="Y32" s="175">
        <v>606.98</v>
      </c>
      <c r="Z32" s="165">
        <f t="shared" si="1"/>
        <v>1.4295336787564767</v>
      </c>
      <c r="AA32" s="176">
        <v>3231.4700000000003</v>
      </c>
      <c r="AB32" s="165">
        <f t="shared" si="2"/>
        <v>8.4021580863234533</v>
      </c>
      <c r="AC32" s="176">
        <v>535.78</v>
      </c>
      <c r="AD32" s="235"/>
      <c r="AE32" s="176"/>
      <c r="AF32" s="176"/>
      <c r="AG32" s="227">
        <v>106</v>
      </c>
      <c r="AH32" s="260">
        <v>1116.1399999999999</v>
      </c>
      <c r="AI32" s="172">
        <f t="shared" si="10"/>
        <v>10.529622641509432</v>
      </c>
      <c r="AJ32" s="258">
        <f t="shared" si="8"/>
        <v>32996.001199999999</v>
      </c>
    </row>
    <row r="33" spans="1:36" ht="20.100000000000001" customHeight="1" x14ac:dyDescent="0.25">
      <c r="A33" s="163">
        <v>46050</v>
      </c>
      <c r="B33" s="175">
        <v>198</v>
      </c>
      <c r="C33" s="176">
        <v>209</v>
      </c>
      <c r="D33" s="176">
        <v>204</v>
      </c>
      <c r="E33" s="176"/>
      <c r="F33" s="165">
        <v>426</v>
      </c>
      <c r="G33" s="185"/>
      <c r="H33" s="165">
        <f t="shared" si="3"/>
        <v>375.20000000000005</v>
      </c>
      <c r="I33" s="187">
        <v>22547.100000000002</v>
      </c>
      <c r="J33" s="181">
        <f t="shared" si="4"/>
        <v>60.093550106609804</v>
      </c>
      <c r="K33" s="175">
        <v>41</v>
      </c>
      <c r="L33" s="177">
        <v>2481.985000000001</v>
      </c>
      <c r="M33" s="221"/>
      <c r="N33" s="221">
        <f t="shared" si="0"/>
        <v>2481.985000000001</v>
      </c>
      <c r="O33" s="168">
        <f t="shared" si="5"/>
        <v>60.536219512195146</v>
      </c>
      <c r="P33" s="184"/>
      <c r="Q33" s="248"/>
      <c r="R33" s="222" t="e">
        <f t="shared" si="6"/>
        <v>#DIV/0!</v>
      </c>
      <c r="S33" s="185">
        <v>26</v>
      </c>
      <c r="T33" s="187">
        <v>273.85000000000002</v>
      </c>
      <c r="U33" s="177">
        <f t="shared" si="9"/>
        <v>10.532692307692308</v>
      </c>
      <c r="V33" s="176">
        <v>125</v>
      </c>
      <c r="W33" s="187">
        <v>754.12</v>
      </c>
      <c r="X33" s="197">
        <f t="shared" si="7"/>
        <v>6.0329600000000001</v>
      </c>
      <c r="Y33" s="184">
        <v>548</v>
      </c>
      <c r="Z33" s="165">
        <f t="shared" si="1"/>
        <v>1.3166746756367129</v>
      </c>
      <c r="AA33" s="185">
        <v>2459.14</v>
      </c>
      <c r="AB33" s="165">
        <f t="shared" si="2"/>
        <v>6.5542110874200414</v>
      </c>
      <c r="AC33" s="185">
        <v>385.44</v>
      </c>
      <c r="AD33" s="251"/>
      <c r="AE33" s="176"/>
      <c r="AF33" s="176"/>
      <c r="AG33" s="227">
        <v>106</v>
      </c>
      <c r="AH33" s="260">
        <v>1137.94</v>
      </c>
      <c r="AI33" s="172">
        <f t="shared" si="10"/>
        <v>10.735283018867925</v>
      </c>
      <c r="AJ33" s="258">
        <f t="shared" si="8"/>
        <v>30587.574999999997</v>
      </c>
    </row>
    <row r="34" spans="1:36" ht="20.100000000000001" customHeight="1" x14ac:dyDescent="0.25">
      <c r="A34" s="163">
        <v>46051</v>
      </c>
      <c r="B34" s="175">
        <v>196</v>
      </c>
      <c r="C34" s="176">
        <v>208</v>
      </c>
      <c r="D34" s="176">
        <v>205</v>
      </c>
      <c r="E34" s="176"/>
      <c r="F34" s="165">
        <v>408</v>
      </c>
      <c r="G34" s="185"/>
      <c r="H34" s="165">
        <f t="shared" si="3"/>
        <v>367.6</v>
      </c>
      <c r="I34" s="187">
        <v>22746.720000000005</v>
      </c>
      <c r="J34" s="181">
        <f t="shared" si="4"/>
        <v>61.878998911860727</v>
      </c>
      <c r="K34" s="175">
        <v>40</v>
      </c>
      <c r="L34" s="187">
        <v>1955.0249999999999</v>
      </c>
      <c r="M34" s="221"/>
      <c r="N34" s="221">
        <f t="shared" si="0"/>
        <v>1955.0249999999999</v>
      </c>
      <c r="O34" s="168">
        <f t="shared" si="5"/>
        <v>48.875624999999999</v>
      </c>
      <c r="P34" s="184"/>
      <c r="Q34" s="248"/>
      <c r="R34" s="222" t="e">
        <f t="shared" si="6"/>
        <v>#DIV/0!</v>
      </c>
      <c r="S34" s="185">
        <v>24</v>
      </c>
      <c r="T34" s="187">
        <v>320</v>
      </c>
      <c r="U34" s="177">
        <f t="shared" si="9"/>
        <v>13.333333333333334</v>
      </c>
      <c r="V34" s="176">
        <v>118</v>
      </c>
      <c r="W34" s="187">
        <v>821.48</v>
      </c>
      <c r="X34" s="197">
        <f t="shared" si="7"/>
        <v>6.9616949152542373</v>
      </c>
      <c r="Y34" s="184">
        <v>810.96</v>
      </c>
      <c r="Z34" s="165">
        <f t="shared" si="1"/>
        <v>1.9895976447497545</v>
      </c>
      <c r="AA34" s="185">
        <v>2747.2000000000003</v>
      </c>
      <c r="AB34" s="165">
        <f t="shared" si="2"/>
        <v>7.4733405875952128</v>
      </c>
      <c r="AC34" s="185">
        <v>1086.58</v>
      </c>
      <c r="AD34" s="251"/>
      <c r="AE34" s="176"/>
      <c r="AF34" s="176"/>
      <c r="AG34" s="227">
        <v>106</v>
      </c>
      <c r="AH34" s="260">
        <v>1061.115</v>
      </c>
      <c r="AI34" s="172">
        <f t="shared" si="10"/>
        <v>10.010518867924528</v>
      </c>
      <c r="AJ34" s="258">
        <f t="shared" si="8"/>
        <v>31549.080000000005</v>
      </c>
    </row>
    <row r="35" spans="1:36" ht="20.100000000000001" customHeight="1" x14ac:dyDescent="0.25">
      <c r="A35" s="163">
        <v>46052</v>
      </c>
      <c r="B35" s="175">
        <v>83</v>
      </c>
      <c r="C35" s="176">
        <v>92</v>
      </c>
      <c r="D35" s="176">
        <v>84</v>
      </c>
      <c r="E35" s="176"/>
      <c r="F35" s="165">
        <v>378</v>
      </c>
      <c r="G35" s="185"/>
      <c r="H35" s="165">
        <f t="shared" si="3"/>
        <v>238.20000000000002</v>
      </c>
      <c r="I35" s="187">
        <v>15569.083800000006</v>
      </c>
      <c r="J35" s="181">
        <f t="shared" si="4"/>
        <v>65.361392947103298</v>
      </c>
      <c r="K35" s="175">
        <v>41</v>
      </c>
      <c r="L35" s="187">
        <v>2226.6950000000002</v>
      </c>
      <c r="M35" s="221"/>
      <c r="N35" s="221">
        <f t="shared" si="0"/>
        <v>2226.6950000000002</v>
      </c>
      <c r="O35" s="168">
        <f t="shared" si="5"/>
        <v>54.309634146341466</v>
      </c>
      <c r="P35" s="184"/>
      <c r="Q35" s="248"/>
      <c r="R35" s="222" t="e">
        <f t="shared" si="6"/>
        <v>#DIV/0!</v>
      </c>
      <c r="S35" s="185">
        <v>7</v>
      </c>
      <c r="T35" s="187">
        <v>79.5</v>
      </c>
      <c r="U35" s="177">
        <f t="shared" si="9"/>
        <v>11.357142857142858</v>
      </c>
      <c r="V35" s="176">
        <v>2</v>
      </c>
      <c r="W35" s="187">
        <v>14.64</v>
      </c>
      <c r="X35" s="197">
        <f t="shared" si="7"/>
        <v>7.32</v>
      </c>
      <c r="Y35" s="184">
        <v>409.67</v>
      </c>
      <c r="Z35" s="165">
        <f t="shared" si="1"/>
        <v>1.4672994269340973</v>
      </c>
      <c r="AA35" s="185">
        <v>2437.71</v>
      </c>
      <c r="AB35" s="165">
        <f t="shared" si="2"/>
        <v>10.233879093198992</v>
      </c>
      <c r="AC35" s="185"/>
      <c r="AD35" s="251"/>
      <c r="AE35" s="176"/>
      <c r="AF35" s="176">
        <v>2756</v>
      </c>
      <c r="AG35" s="227">
        <v>106</v>
      </c>
      <c r="AH35" s="260">
        <v>1141</v>
      </c>
      <c r="AI35" s="172">
        <f t="shared" si="10"/>
        <v>10.764150943396226</v>
      </c>
      <c r="AJ35" s="258">
        <f t="shared" si="8"/>
        <v>24634.298800000004</v>
      </c>
    </row>
    <row r="36" spans="1:36" ht="15.75" thickBot="1" x14ac:dyDescent="0.3">
      <c r="A36" s="163">
        <v>46053</v>
      </c>
      <c r="B36" s="175">
        <v>85</v>
      </c>
      <c r="C36" s="176">
        <v>95</v>
      </c>
      <c r="D36" s="176">
        <v>85</v>
      </c>
      <c r="E36" s="176"/>
      <c r="F36" s="165">
        <v>377</v>
      </c>
      <c r="G36" s="185"/>
      <c r="H36" s="165">
        <f t="shared" si="3"/>
        <v>239.8</v>
      </c>
      <c r="I36" s="187">
        <v>18919.953000000001</v>
      </c>
      <c r="J36" s="181">
        <f t="shared" si="4"/>
        <v>78.898886572143454</v>
      </c>
      <c r="K36" s="175">
        <v>41</v>
      </c>
      <c r="L36" s="187">
        <v>2180.5200000000004</v>
      </c>
      <c r="M36" s="221"/>
      <c r="N36" s="221">
        <f t="shared" si="0"/>
        <v>2180.5200000000004</v>
      </c>
      <c r="O36" s="168">
        <f t="shared" si="5"/>
        <v>53.183414634146352</v>
      </c>
      <c r="P36" s="184"/>
      <c r="Q36" s="248"/>
      <c r="R36" s="222" t="e">
        <f t="shared" si="6"/>
        <v>#DIV/0!</v>
      </c>
      <c r="S36" s="185">
        <v>7</v>
      </c>
      <c r="T36" s="187">
        <v>100</v>
      </c>
      <c r="U36" s="177">
        <f t="shared" si="9"/>
        <v>14.285714285714286</v>
      </c>
      <c r="V36" s="176">
        <v>2</v>
      </c>
      <c r="W36" s="187">
        <v>12.93</v>
      </c>
      <c r="X36" s="197">
        <f t="shared" si="7"/>
        <v>6.4649999999999999</v>
      </c>
      <c r="Y36" s="184">
        <v>401.3</v>
      </c>
      <c r="Z36" s="165">
        <f t="shared" si="1"/>
        <v>1.429131054131054</v>
      </c>
      <c r="AA36" s="185">
        <v>2119.5299999999997</v>
      </c>
      <c r="AB36" s="165">
        <f t="shared" si="2"/>
        <v>8.8387406171809833</v>
      </c>
      <c r="AC36" s="185">
        <v>1075.1799999999998</v>
      </c>
      <c r="AD36" s="251"/>
      <c r="AE36" s="176"/>
      <c r="AF36" s="176"/>
      <c r="AG36" s="227">
        <v>106</v>
      </c>
      <c r="AH36" s="260">
        <v>1095.52</v>
      </c>
      <c r="AI36" s="172">
        <f t="shared" si="10"/>
        <v>10.335094339622641</v>
      </c>
      <c r="AJ36" s="258">
        <f t="shared" si="8"/>
        <v>25904.933000000001</v>
      </c>
    </row>
    <row r="37" spans="1:36" s="39" customFormat="1" ht="26.25" thickBot="1" x14ac:dyDescent="0.3">
      <c r="A37" s="202" t="s">
        <v>77</v>
      </c>
      <c r="B37" s="195">
        <f t="shared" ref="B37:I37" si="11">SUM(B6:B36)</f>
        <v>5035</v>
      </c>
      <c r="C37" s="195">
        <f t="shared" si="11"/>
        <v>5348</v>
      </c>
      <c r="D37" s="195">
        <f t="shared" si="11"/>
        <v>5371</v>
      </c>
      <c r="E37" s="195">
        <f t="shared" si="11"/>
        <v>0</v>
      </c>
      <c r="F37" s="195">
        <f t="shared" si="11"/>
        <v>12677</v>
      </c>
      <c r="G37" s="195">
        <f t="shared" si="11"/>
        <v>0</v>
      </c>
      <c r="H37" s="195">
        <f t="shared" si="11"/>
        <v>10365.400000000003</v>
      </c>
      <c r="I37" s="195">
        <f t="shared" si="11"/>
        <v>641046.35005000001</v>
      </c>
      <c r="J37" s="195">
        <f>I37/H37</f>
        <v>61.84482509599242</v>
      </c>
      <c r="K37" s="195">
        <f>SUM(K6:K36)</f>
        <v>1237</v>
      </c>
      <c r="L37" s="195">
        <f>SUM(L6:L36)</f>
        <v>52216.35815</v>
      </c>
      <c r="M37" s="195">
        <f>SUM(M6:M36)</f>
        <v>17937.45</v>
      </c>
      <c r="N37" s="195">
        <f>SUM(N6:N36)</f>
        <v>70153.808149999997</v>
      </c>
      <c r="O37" s="195">
        <f>+N37/K37</f>
        <v>56.712860266774449</v>
      </c>
      <c r="P37" s="195">
        <f>SUM(P6:P36)</f>
        <v>0</v>
      </c>
      <c r="Q37" s="195">
        <f>SUM(Q6:Q36)</f>
        <v>0</v>
      </c>
      <c r="R37" s="252" t="e">
        <f>+Q37/P37</f>
        <v>#DIV/0!</v>
      </c>
      <c r="S37" s="195">
        <f>SUM(S6:S36)</f>
        <v>728</v>
      </c>
      <c r="T37" s="195">
        <f>SUM(T6:T36)</f>
        <v>9538.4465</v>
      </c>
      <c r="U37" s="195"/>
      <c r="V37" s="195">
        <f t="shared" ref="V37:AG37" si="12">SUM(V6:V36)</f>
        <v>3132</v>
      </c>
      <c r="W37" s="195">
        <f t="shared" si="12"/>
        <v>20803.929999999997</v>
      </c>
      <c r="X37" s="195">
        <f t="shared" si="12"/>
        <v>207.57546058329612</v>
      </c>
      <c r="Y37" s="195">
        <f t="shared" si="12"/>
        <v>13426.089999999998</v>
      </c>
      <c r="Z37" s="195">
        <f>+Y37/(K37+H37)</f>
        <v>1.1571821347307449</v>
      </c>
      <c r="AA37" s="195">
        <f t="shared" si="12"/>
        <v>70642.820000000007</v>
      </c>
      <c r="AB37" s="195">
        <f t="shared" si="2"/>
        <v>6.8152526675285072</v>
      </c>
      <c r="AC37" s="195">
        <f t="shared" si="12"/>
        <v>6811.6999999999989</v>
      </c>
      <c r="AD37" s="195">
        <f t="shared" si="12"/>
        <v>0</v>
      </c>
      <c r="AE37" s="195">
        <f t="shared" si="12"/>
        <v>19849.61</v>
      </c>
      <c r="AF37" s="195">
        <f t="shared" si="12"/>
        <v>9646</v>
      </c>
      <c r="AG37" s="195">
        <f t="shared" si="12"/>
        <v>3286</v>
      </c>
      <c r="AH37" s="253">
        <f>SUM(AH6:AH36)</f>
        <v>35347.844999999994</v>
      </c>
      <c r="AI37" s="195">
        <f>AH37/AG37</f>
        <v>10.757104382227631</v>
      </c>
      <c r="AJ37" s="203">
        <f>SUM(AJ6:AJ36)</f>
        <v>879329.14969999983</v>
      </c>
    </row>
    <row r="44" spans="1:36" x14ac:dyDescent="0.25">
      <c r="L44" s="177"/>
    </row>
  </sheetData>
  <sheetProtection algorithmName="SHA-512" hashValue="uSqpJz/U1Dhbb6+ZAHBv27gX9j0RUdaEOGX7EUsOwaCXOvZkAlE4NN6Aw7hzS7NDgoPK6A5F9ocvKru0qvrn5Q==" saltValue="UdNEUemIN/CTiJWPLDwufw==" spinCount="100000" sheet="1" scenarios="1" sort="0" autoFilter="0"/>
  <mergeCells count="8">
    <mergeCell ref="A1:AJ1"/>
    <mergeCell ref="A2:AJ2"/>
    <mergeCell ref="A3:AJ3"/>
    <mergeCell ref="B4:J4"/>
    <mergeCell ref="K4:O4"/>
    <mergeCell ref="P4:X4"/>
    <mergeCell ref="Y4:AD4"/>
    <mergeCell ref="AG4:AI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C416-3D47-4DC7-BCE6-57EC566C002F}">
  <dimension ref="A1:AO40"/>
  <sheetViews>
    <sheetView topLeftCell="A7" zoomScale="80" zoomScaleNormal="80" workbookViewId="0">
      <selection activeCell="J37" sqref="J37"/>
    </sheetView>
  </sheetViews>
  <sheetFormatPr defaultRowHeight="15" x14ac:dyDescent="0.25"/>
  <cols>
    <col min="1" max="1" width="10.5703125" style="2" bestFit="1" customWidth="1"/>
    <col min="2" max="4" width="10.140625" bestFit="1" customWidth="1"/>
    <col min="6" max="6" width="11.28515625" bestFit="1" customWidth="1"/>
    <col min="8" max="8" width="10.140625" bestFit="1" customWidth="1"/>
    <col min="9" max="9" width="12.28515625" bestFit="1" customWidth="1"/>
    <col min="10" max="10" width="11.28515625" customWidth="1"/>
    <col min="11" max="11" width="10.85546875" bestFit="1" customWidth="1"/>
    <col min="12" max="12" width="9.85546875" customWidth="1"/>
    <col min="14" max="14" width="10.140625" bestFit="1" customWidth="1"/>
    <col min="15" max="15" width="11.28515625" bestFit="1" customWidth="1"/>
    <col min="16" max="16" width="10.140625" bestFit="1" customWidth="1"/>
    <col min="17" max="22" width="10.140625" customWidth="1"/>
    <col min="23" max="23" width="10.140625" bestFit="1" customWidth="1"/>
    <col min="24" max="24" width="12" bestFit="1" customWidth="1"/>
    <col min="27" max="27" width="12" customWidth="1"/>
    <col min="29" max="29" width="10.140625" bestFit="1" customWidth="1"/>
    <col min="30" max="30" width="11.28515625" bestFit="1" customWidth="1"/>
    <col min="32" max="32" width="11.28515625" bestFit="1" customWidth="1"/>
    <col min="34" max="34" width="10.140625" bestFit="1" customWidth="1"/>
    <col min="36" max="36" width="11.28515625" bestFit="1" customWidth="1"/>
    <col min="37" max="37" width="10.140625" bestFit="1" customWidth="1"/>
    <col min="38" max="38" width="14.85546875" bestFit="1" customWidth="1"/>
    <col min="39" max="39" width="11.28515625" bestFit="1" customWidth="1"/>
    <col min="41" max="41" width="12.140625" bestFit="1" customWidth="1"/>
  </cols>
  <sheetData>
    <row r="1" spans="1:41" ht="21.75" thickBot="1" x14ac:dyDescent="0.4">
      <c r="A1" s="308" t="s">
        <v>59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10"/>
    </row>
    <row r="2" spans="1:41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</row>
    <row r="3" spans="1:41" ht="21.75" thickBot="1" x14ac:dyDescent="0.4">
      <c r="A3" s="308" t="s">
        <v>104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</row>
    <row r="4" spans="1:41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3"/>
      <c r="N4" s="314" t="s">
        <v>62</v>
      </c>
      <c r="O4" s="315"/>
      <c r="P4" s="315"/>
      <c r="Q4" s="316" t="s">
        <v>117</v>
      </c>
      <c r="R4" s="315"/>
      <c r="S4" s="315"/>
      <c r="T4" s="315"/>
      <c r="U4" s="315"/>
      <c r="V4" s="317"/>
      <c r="W4" s="315" t="s">
        <v>65</v>
      </c>
      <c r="X4" s="315"/>
      <c r="Y4" s="315"/>
      <c r="Z4" s="315"/>
      <c r="AA4" s="315"/>
      <c r="AB4" s="315"/>
      <c r="AC4" s="315"/>
      <c r="AD4" s="315"/>
      <c r="AE4" s="318"/>
      <c r="AF4" s="263"/>
      <c r="AG4" s="264"/>
      <c r="AH4" s="264"/>
      <c r="AI4" s="319" t="s">
        <v>106</v>
      </c>
      <c r="AJ4" s="319"/>
      <c r="AK4" s="209"/>
      <c r="AL4" s="320" t="s">
        <v>67</v>
      </c>
      <c r="AM4" s="321"/>
      <c r="AN4" s="322"/>
      <c r="AO4" s="144" t="s">
        <v>68</v>
      </c>
    </row>
    <row r="5" spans="1:41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276" t="s">
        <v>69</v>
      </c>
      <c r="I5" s="277" t="s">
        <v>0</v>
      </c>
      <c r="J5" s="278" t="s">
        <v>111</v>
      </c>
      <c r="K5" s="211" t="s">
        <v>105</v>
      </c>
      <c r="L5" s="211" t="s">
        <v>112</v>
      </c>
      <c r="M5" s="150" t="s">
        <v>113</v>
      </c>
      <c r="N5" s="148" t="s">
        <v>69</v>
      </c>
      <c r="O5" s="148" t="s">
        <v>89</v>
      </c>
      <c r="P5" s="211" t="s">
        <v>91</v>
      </c>
      <c r="Q5" s="292" t="s">
        <v>2</v>
      </c>
      <c r="R5" s="293" t="s">
        <v>3</v>
      </c>
      <c r="S5" s="293" t="s">
        <v>4</v>
      </c>
      <c r="T5" s="291" t="s">
        <v>114</v>
      </c>
      <c r="U5" s="288" t="s">
        <v>115</v>
      </c>
      <c r="V5" s="294" t="s">
        <v>116</v>
      </c>
      <c r="W5" s="286" t="s">
        <v>92</v>
      </c>
      <c r="X5" s="212" t="s">
        <v>93</v>
      </c>
      <c r="Y5" s="213" t="s">
        <v>94</v>
      </c>
      <c r="Z5" s="152" t="s">
        <v>72</v>
      </c>
      <c r="AA5" s="152" t="s">
        <v>73</v>
      </c>
      <c r="AB5" s="152" t="s">
        <v>79</v>
      </c>
      <c r="AC5" s="153" t="s">
        <v>21</v>
      </c>
      <c r="AD5" s="153" t="s">
        <v>74</v>
      </c>
      <c r="AE5" s="154" t="s">
        <v>16</v>
      </c>
      <c r="AF5" s="214" t="s">
        <v>95</v>
      </c>
      <c r="AG5" s="157" t="s">
        <v>96</v>
      </c>
      <c r="AH5" s="157" t="s">
        <v>99</v>
      </c>
      <c r="AI5" s="265" t="s">
        <v>107</v>
      </c>
      <c r="AJ5" s="216" t="s">
        <v>108</v>
      </c>
      <c r="AK5" s="217" t="s">
        <v>102</v>
      </c>
      <c r="AL5" s="218" t="s">
        <v>75</v>
      </c>
      <c r="AM5" s="219" t="s">
        <v>30</v>
      </c>
      <c r="AN5" s="162" t="s">
        <v>76</v>
      </c>
      <c r="AO5" s="144" t="s">
        <v>68</v>
      </c>
    </row>
    <row r="6" spans="1:41" ht="20.100000000000001" customHeight="1" x14ac:dyDescent="0.25">
      <c r="A6" s="283">
        <v>1</v>
      </c>
      <c r="B6" s="175">
        <v>198</v>
      </c>
      <c r="C6" s="176">
        <v>208</v>
      </c>
      <c r="D6" s="176">
        <v>219</v>
      </c>
      <c r="E6" s="165"/>
      <c r="F6" s="165">
        <v>428</v>
      </c>
      <c r="G6" s="165"/>
      <c r="H6" s="52">
        <f>B6*0.2+SUM(C6:F6)*0.4</f>
        <v>381.6</v>
      </c>
      <c r="I6" s="272">
        <v>24970.912400000001</v>
      </c>
      <c r="J6" s="94">
        <f>+I6/H6</f>
        <v>65.437401467505239</v>
      </c>
      <c r="K6" s="51">
        <v>2289.96</v>
      </c>
      <c r="L6" s="279">
        <f>+K6/H6</f>
        <v>6.0009433962264147</v>
      </c>
      <c r="M6" s="280">
        <f>+(K6+I6)/H6</f>
        <v>71.438344863731658</v>
      </c>
      <c r="N6" s="198">
        <v>41</v>
      </c>
      <c r="O6" s="273">
        <v>2310.2249999999995</v>
      </c>
      <c r="P6" s="279">
        <f>+O6/N6</f>
        <v>56.346951219512185</v>
      </c>
      <c r="Q6" s="296"/>
      <c r="R6" s="273"/>
      <c r="S6" s="273"/>
      <c r="T6" s="271">
        <f>+Q6*20%+S6*40%+R6*40%</f>
        <v>0</v>
      </c>
      <c r="U6" s="273"/>
      <c r="V6" s="289" t="e">
        <f>+U6/T6</f>
        <v>#DIV/0!</v>
      </c>
      <c r="W6" s="227"/>
      <c r="X6" s="227"/>
      <c r="Y6" s="270" t="e">
        <f>+X6/W6</f>
        <v>#DIV/0!</v>
      </c>
      <c r="Z6" s="51">
        <v>43</v>
      </c>
      <c r="AA6" s="51">
        <v>587.31999999999994</v>
      </c>
      <c r="AB6" s="271">
        <f>AA6/Z6</f>
        <v>13.65860465116279</v>
      </c>
      <c r="AC6" s="51">
        <v>273</v>
      </c>
      <c r="AD6" s="51">
        <v>1579.4499999999998</v>
      </c>
      <c r="AE6" s="281">
        <f>AD6/AC6</f>
        <v>5.7855311355311345</v>
      </c>
      <c r="AF6" s="198">
        <v>473.78</v>
      </c>
      <c r="AG6" s="52">
        <f t="shared" ref="AG6:AG36" si="0">+AF6/(H6+N6)</f>
        <v>1.1211074301940367</v>
      </c>
      <c r="AH6" s="236"/>
      <c r="AI6" s="274"/>
      <c r="AJ6" s="51"/>
      <c r="AK6" s="43"/>
      <c r="AL6" s="227">
        <v>106</v>
      </c>
      <c r="AM6" s="260">
        <v>1020.09</v>
      </c>
      <c r="AN6" s="257">
        <f>AM6/AL6</f>
        <v>9.6234905660377361</v>
      </c>
      <c r="AO6" s="258">
        <f>+AM6+AK6+AJ6+AI6+AH6+AF6+AD6+AA6+X6+O6+K6+I6+U6</f>
        <v>33231.737399999998</v>
      </c>
    </row>
    <row r="7" spans="1:41" ht="20.100000000000001" customHeight="1" x14ac:dyDescent="0.25">
      <c r="A7" s="283">
        <v>2</v>
      </c>
      <c r="B7" s="175">
        <v>197</v>
      </c>
      <c r="C7" s="176">
        <v>209</v>
      </c>
      <c r="D7" s="176">
        <v>224</v>
      </c>
      <c r="E7" s="165"/>
      <c r="F7" s="165">
        <v>430</v>
      </c>
      <c r="G7" s="176"/>
      <c r="H7" s="52">
        <f t="shared" ref="H7:H36" si="1">B7*0.2+SUM(C7:F7)*0.4</f>
        <v>384.6</v>
      </c>
      <c r="I7" s="177">
        <v>24453.040000000001</v>
      </c>
      <c r="J7" s="94">
        <f t="shared" ref="J7:J36" si="2">+I7/H7</f>
        <v>63.580447217888711</v>
      </c>
      <c r="K7" s="176">
        <v>2361.3000000000002</v>
      </c>
      <c r="L7" s="279">
        <f t="shared" ref="L7:L36" si="3">+K7/H7</f>
        <v>6.1396255850234009</v>
      </c>
      <c r="M7" s="280">
        <f t="shared" ref="M7:M34" si="4">+(K7+I7)/H7</f>
        <v>69.720072802912114</v>
      </c>
      <c r="N7" s="164">
        <v>41</v>
      </c>
      <c r="O7" s="177">
        <v>2515.6149999999998</v>
      </c>
      <c r="P7" s="279">
        <f t="shared" ref="P7:P36" si="5">+O7/N7</f>
        <v>61.356463414634142</v>
      </c>
      <c r="Q7" s="296"/>
      <c r="R7" s="273"/>
      <c r="S7" s="273"/>
      <c r="T7" s="271">
        <f t="shared" ref="T7:T37" si="6">+Q7*20%+S7*40%+R7*40%</f>
        <v>0</v>
      </c>
      <c r="U7" s="273"/>
      <c r="V7" s="289" t="e">
        <f t="shared" ref="V7:V36" si="7">+U7/T7</f>
        <v>#DIV/0!</v>
      </c>
      <c r="W7" s="239"/>
      <c r="X7" s="222"/>
      <c r="Y7" s="270" t="e">
        <f t="shared" ref="Y7:Y36" si="8">+X7/W7</f>
        <v>#DIV/0!</v>
      </c>
      <c r="Z7" s="165">
        <v>41</v>
      </c>
      <c r="AA7" s="200">
        <v>531.43999999999994</v>
      </c>
      <c r="AB7" s="271">
        <f>AA7/Z7</f>
        <v>12.961951219512194</v>
      </c>
      <c r="AC7" s="165">
        <v>130</v>
      </c>
      <c r="AD7" s="165">
        <v>818.55</v>
      </c>
      <c r="AE7" s="282">
        <f t="shared" ref="AE7:AE36" si="9">AD7/AC7</f>
        <v>6.2965384615384608</v>
      </c>
      <c r="AF7" s="175">
        <v>324</v>
      </c>
      <c r="AG7" s="52">
        <f t="shared" si="0"/>
        <v>0.76127819548872178</v>
      </c>
      <c r="AH7" s="176">
        <v>224.26</v>
      </c>
      <c r="AI7" s="235"/>
      <c r="AJ7" s="176"/>
      <c r="AK7" s="176"/>
      <c r="AL7" s="227">
        <v>106</v>
      </c>
      <c r="AM7" s="260">
        <v>1043.9900000000002</v>
      </c>
      <c r="AN7" s="172">
        <f>AM7/AL7</f>
        <v>9.8489622641509449</v>
      </c>
      <c r="AO7" s="258">
        <f t="shared" ref="AO7:AO36" si="10">+AM7+AK7+AJ7+AI7+AH7+AF7+AD7+AA7+X7+O7+K7+I7+U7</f>
        <v>32272.195</v>
      </c>
    </row>
    <row r="8" spans="1:41" ht="20.100000000000001" customHeight="1" x14ac:dyDescent="0.25">
      <c r="A8" s="283">
        <v>3</v>
      </c>
      <c r="B8" s="175">
        <v>198</v>
      </c>
      <c r="C8" s="176">
        <v>210</v>
      </c>
      <c r="D8" s="176">
        <v>204</v>
      </c>
      <c r="E8" s="165"/>
      <c r="F8" s="165">
        <v>428</v>
      </c>
      <c r="G8" s="176"/>
      <c r="H8" s="52">
        <f t="shared" si="1"/>
        <v>376.40000000000003</v>
      </c>
      <c r="I8" s="177">
        <v>25072.924000000003</v>
      </c>
      <c r="J8" s="94">
        <f t="shared" si="2"/>
        <v>66.612444208289062</v>
      </c>
      <c r="K8" s="221">
        <v>1782.56</v>
      </c>
      <c r="L8" s="279">
        <f t="shared" si="3"/>
        <v>4.7358129649309237</v>
      </c>
      <c r="M8" s="280">
        <f t="shared" si="4"/>
        <v>71.348257173219977</v>
      </c>
      <c r="N8" s="164">
        <v>43</v>
      </c>
      <c r="O8" s="177">
        <v>2580.014999999999</v>
      </c>
      <c r="P8" s="279">
        <f t="shared" si="5"/>
        <v>60.00034883720928</v>
      </c>
      <c r="Q8" s="296"/>
      <c r="R8" s="273"/>
      <c r="S8" s="273"/>
      <c r="T8" s="271">
        <f t="shared" si="6"/>
        <v>0</v>
      </c>
      <c r="U8" s="273"/>
      <c r="V8" s="289" t="e">
        <f t="shared" si="7"/>
        <v>#DIV/0!</v>
      </c>
      <c r="W8" s="239"/>
      <c r="X8" s="222"/>
      <c r="Y8" s="270" t="e">
        <f t="shared" si="8"/>
        <v>#DIV/0!</v>
      </c>
      <c r="Z8" s="165">
        <v>42</v>
      </c>
      <c r="AA8" s="177">
        <v>471.64000000000004</v>
      </c>
      <c r="AB8" s="271">
        <f>AA8/Z8</f>
        <v>11.22952380952381</v>
      </c>
      <c r="AC8" s="176">
        <v>132</v>
      </c>
      <c r="AD8" s="176">
        <v>695.16</v>
      </c>
      <c r="AE8" s="282">
        <f t="shared" si="9"/>
        <v>5.2663636363636357</v>
      </c>
      <c r="AF8" s="175">
        <v>472</v>
      </c>
      <c r="AG8" s="52">
        <f t="shared" si="0"/>
        <v>1.1254172627563184</v>
      </c>
      <c r="AH8" s="176">
        <v>209.86</v>
      </c>
      <c r="AI8" s="235"/>
      <c r="AJ8" s="176"/>
      <c r="AK8" s="176"/>
      <c r="AL8" s="227">
        <v>106</v>
      </c>
      <c r="AM8" s="260">
        <v>1062.1200000000001</v>
      </c>
      <c r="AN8" s="172">
        <f>AM8/AL8</f>
        <v>10.020000000000001</v>
      </c>
      <c r="AO8" s="258">
        <f t="shared" si="10"/>
        <v>32346.279000000002</v>
      </c>
    </row>
    <row r="9" spans="1:41" ht="20.100000000000001" customHeight="1" x14ac:dyDescent="0.25">
      <c r="A9" s="283">
        <v>4</v>
      </c>
      <c r="B9" s="175">
        <v>198</v>
      </c>
      <c r="C9" s="176">
        <v>208</v>
      </c>
      <c r="D9" s="176">
        <v>204</v>
      </c>
      <c r="E9" s="165"/>
      <c r="F9" s="165">
        <v>427</v>
      </c>
      <c r="G9" s="176"/>
      <c r="H9" s="52">
        <f t="shared" si="1"/>
        <v>375.20000000000005</v>
      </c>
      <c r="I9" s="177">
        <v>24494.014799999997</v>
      </c>
      <c r="J9" s="94">
        <f t="shared" si="2"/>
        <v>65.2825554371002</v>
      </c>
      <c r="K9" s="261">
        <v>2426.4900000000002</v>
      </c>
      <c r="L9" s="279">
        <f t="shared" si="3"/>
        <v>6.4671908315565032</v>
      </c>
      <c r="M9" s="280">
        <f t="shared" si="4"/>
        <v>71.749746268656708</v>
      </c>
      <c r="N9" s="259">
        <v>42</v>
      </c>
      <c r="O9" s="177">
        <v>2175.73</v>
      </c>
      <c r="P9" s="279">
        <f t="shared" si="5"/>
        <v>51.803095238095239</v>
      </c>
      <c r="Q9" s="296"/>
      <c r="R9" s="273"/>
      <c r="S9" s="273"/>
      <c r="T9" s="271">
        <f t="shared" si="6"/>
        <v>0</v>
      </c>
      <c r="U9" s="273"/>
      <c r="V9" s="289" t="e">
        <f t="shared" si="7"/>
        <v>#DIV/0!</v>
      </c>
      <c r="W9" s="239"/>
      <c r="X9" s="222"/>
      <c r="Y9" s="270" t="e">
        <f t="shared" si="8"/>
        <v>#DIV/0!</v>
      </c>
      <c r="Z9" s="165">
        <v>25</v>
      </c>
      <c r="AA9" s="177">
        <v>317.04999999999995</v>
      </c>
      <c r="AB9" s="271">
        <f t="shared" ref="AB9:AB36" si="11">AA9/Z9</f>
        <v>12.681999999999999</v>
      </c>
      <c r="AC9" s="176">
        <v>125</v>
      </c>
      <c r="AD9" s="176">
        <v>736.32000000000016</v>
      </c>
      <c r="AE9" s="282">
        <f t="shared" si="9"/>
        <v>5.8905600000000016</v>
      </c>
      <c r="AF9" s="175">
        <v>76</v>
      </c>
      <c r="AG9" s="52">
        <f t="shared" si="0"/>
        <v>0.18216682646212845</v>
      </c>
      <c r="AH9" s="176">
        <v>220.8</v>
      </c>
      <c r="AI9" s="235"/>
      <c r="AJ9" s="176">
        <v>850</v>
      </c>
      <c r="AK9" s="176"/>
      <c r="AL9" s="227">
        <v>106</v>
      </c>
      <c r="AM9" s="260">
        <v>1027.25</v>
      </c>
      <c r="AN9" s="172">
        <f>AM9/AL9</f>
        <v>9.691037735849056</v>
      </c>
      <c r="AO9" s="258">
        <f t="shared" si="10"/>
        <v>32323.654799999997</v>
      </c>
    </row>
    <row r="10" spans="1:41" ht="20.100000000000001" customHeight="1" x14ac:dyDescent="0.25">
      <c r="A10" s="283">
        <v>5</v>
      </c>
      <c r="B10" s="175">
        <v>199</v>
      </c>
      <c r="C10" s="176">
        <v>209</v>
      </c>
      <c r="D10" s="165">
        <v>205</v>
      </c>
      <c r="E10" s="176"/>
      <c r="F10" s="165">
        <v>414</v>
      </c>
      <c r="G10" s="176"/>
      <c r="H10" s="52">
        <f t="shared" si="1"/>
        <v>371.00000000000006</v>
      </c>
      <c r="I10" s="177">
        <v>25007.61</v>
      </c>
      <c r="J10" s="94">
        <f t="shared" si="2"/>
        <v>67.405956873315361</v>
      </c>
      <c r="K10" s="261">
        <v>2380.9700000000003</v>
      </c>
      <c r="L10" s="279">
        <f t="shared" si="3"/>
        <v>6.4177088948787056</v>
      </c>
      <c r="M10" s="280">
        <f t="shared" si="4"/>
        <v>73.823665768194061</v>
      </c>
      <c r="N10" s="259">
        <v>42</v>
      </c>
      <c r="O10" s="177">
        <v>2337.7049999999999</v>
      </c>
      <c r="P10" s="279">
        <f t="shared" si="5"/>
        <v>55.659642857142856</v>
      </c>
      <c r="Q10" s="296"/>
      <c r="R10" s="273"/>
      <c r="S10" s="273"/>
      <c r="T10" s="271">
        <f t="shared" si="6"/>
        <v>0</v>
      </c>
      <c r="U10" s="273"/>
      <c r="V10" s="289" t="e">
        <f t="shared" si="7"/>
        <v>#DIV/0!</v>
      </c>
      <c r="W10" s="239"/>
      <c r="X10" s="222"/>
      <c r="Y10" s="270" t="e">
        <f t="shared" si="8"/>
        <v>#DIV/0!</v>
      </c>
      <c r="Z10" s="165">
        <v>10</v>
      </c>
      <c r="AA10" s="177">
        <v>340.12</v>
      </c>
      <c r="AB10" s="271">
        <f t="shared" si="11"/>
        <v>34.012</v>
      </c>
      <c r="AC10" s="176">
        <v>128</v>
      </c>
      <c r="AD10" s="176">
        <v>807.2</v>
      </c>
      <c r="AE10" s="282">
        <f t="shared" si="9"/>
        <v>6.3062500000000004</v>
      </c>
      <c r="AF10" s="175">
        <v>338.2</v>
      </c>
      <c r="AG10" s="52">
        <f t="shared" si="0"/>
        <v>0.81888619854721534</v>
      </c>
      <c r="AH10" s="176">
        <v>400.45</v>
      </c>
      <c r="AI10" s="235"/>
      <c r="AJ10" s="176"/>
      <c r="AK10" s="176"/>
      <c r="AL10" s="227">
        <v>106</v>
      </c>
      <c r="AM10" s="260">
        <v>1067.99</v>
      </c>
      <c r="AN10" s="172">
        <f t="shared" ref="AN10:AN36" si="12">AM10/AL10</f>
        <v>10.075377358490567</v>
      </c>
      <c r="AO10" s="258">
        <f t="shared" si="10"/>
        <v>32680.245000000003</v>
      </c>
    </row>
    <row r="11" spans="1:41" ht="20.100000000000001" customHeight="1" x14ac:dyDescent="0.25">
      <c r="A11" s="283">
        <v>6</v>
      </c>
      <c r="B11" s="175">
        <v>84</v>
      </c>
      <c r="C11" s="176">
        <v>84</v>
      </c>
      <c r="D11" s="176">
        <v>84</v>
      </c>
      <c r="E11" s="176"/>
      <c r="F11" s="165">
        <v>379</v>
      </c>
      <c r="G11" s="176"/>
      <c r="H11" s="52">
        <f t="shared" si="1"/>
        <v>235.60000000000002</v>
      </c>
      <c r="I11" s="177">
        <v>17701.171599999998</v>
      </c>
      <c r="J11" s="94">
        <f t="shared" si="2"/>
        <v>75.132307300509325</v>
      </c>
      <c r="K11" s="261">
        <v>2177.7599999999998</v>
      </c>
      <c r="L11" s="279">
        <f t="shared" si="3"/>
        <v>9.243463497453309</v>
      </c>
      <c r="M11" s="280">
        <f t="shared" si="4"/>
        <v>84.37577079796263</v>
      </c>
      <c r="N11" s="259">
        <v>41</v>
      </c>
      <c r="O11" s="177">
        <v>2528.6949999999997</v>
      </c>
      <c r="P11" s="279">
        <f t="shared" si="5"/>
        <v>61.675487804878038</v>
      </c>
      <c r="Q11" s="296"/>
      <c r="R11" s="273"/>
      <c r="S11" s="273"/>
      <c r="T11" s="271">
        <f t="shared" si="6"/>
        <v>0</v>
      </c>
      <c r="U11" s="273"/>
      <c r="V11" s="289" t="e">
        <f t="shared" si="7"/>
        <v>#DIV/0!</v>
      </c>
      <c r="W11" s="239"/>
      <c r="X11" s="222"/>
      <c r="Y11" s="270" t="e">
        <f t="shared" si="8"/>
        <v>#DIV/0!</v>
      </c>
      <c r="Z11" s="165">
        <v>7</v>
      </c>
      <c r="AA11" s="177">
        <v>99.28</v>
      </c>
      <c r="AB11" s="271">
        <f t="shared" si="11"/>
        <v>14.182857142857143</v>
      </c>
      <c r="AC11" s="176">
        <v>2</v>
      </c>
      <c r="AD11" s="176">
        <v>14.6</v>
      </c>
      <c r="AE11" s="282">
        <f t="shared" si="9"/>
        <v>7.3</v>
      </c>
      <c r="AF11" s="175">
        <v>716</v>
      </c>
      <c r="AG11" s="52">
        <f t="shared" si="0"/>
        <v>2.5885755603759941</v>
      </c>
      <c r="AH11" s="176">
        <v>603.07999999999993</v>
      </c>
      <c r="AI11" s="235"/>
      <c r="AJ11" s="176"/>
      <c r="AK11" s="176"/>
      <c r="AL11" s="227">
        <v>106</v>
      </c>
      <c r="AM11" s="260">
        <v>1001.0400000000001</v>
      </c>
      <c r="AN11" s="172">
        <f t="shared" si="12"/>
        <v>9.4437735849056619</v>
      </c>
      <c r="AO11" s="258">
        <f t="shared" si="10"/>
        <v>24841.626599999996</v>
      </c>
    </row>
    <row r="12" spans="1:41" ht="20.100000000000001" customHeight="1" x14ac:dyDescent="0.25">
      <c r="A12" s="283">
        <v>7</v>
      </c>
      <c r="B12" s="175">
        <v>85</v>
      </c>
      <c r="C12" s="176">
        <v>95</v>
      </c>
      <c r="D12" s="176">
        <v>85</v>
      </c>
      <c r="E12" s="176"/>
      <c r="F12" s="165">
        <v>382</v>
      </c>
      <c r="G12" s="176"/>
      <c r="H12" s="52">
        <f t="shared" si="1"/>
        <v>241.8</v>
      </c>
      <c r="I12" s="177">
        <v>17039.179099999994</v>
      </c>
      <c r="J12" s="94">
        <f t="shared" si="2"/>
        <v>70.468069065343229</v>
      </c>
      <c r="K12" s="261">
        <v>2129.62</v>
      </c>
      <c r="L12" s="279">
        <f t="shared" si="3"/>
        <v>8.807361455748552</v>
      </c>
      <c r="M12" s="280">
        <f t="shared" si="4"/>
        <v>79.275430521091778</v>
      </c>
      <c r="N12" s="259">
        <v>41</v>
      </c>
      <c r="O12" s="177">
        <v>2403.67</v>
      </c>
      <c r="P12" s="279">
        <f t="shared" si="5"/>
        <v>58.626097560975609</v>
      </c>
      <c r="Q12" s="296"/>
      <c r="R12" s="273"/>
      <c r="S12" s="273"/>
      <c r="T12" s="271">
        <f t="shared" si="6"/>
        <v>0</v>
      </c>
      <c r="U12" s="273"/>
      <c r="V12" s="289" t="e">
        <f t="shared" si="7"/>
        <v>#DIV/0!</v>
      </c>
      <c r="W12" s="239"/>
      <c r="X12" s="239"/>
      <c r="Y12" s="270" t="e">
        <f t="shared" si="8"/>
        <v>#DIV/0!</v>
      </c>
      <c r="Z12" s="176">
        <v>7</v>
      </c>
      <c r="AA12" s="177">
        <v>99.28</v>
      </c>
      <c r="AB12" s="271">
        <f t="shared" si="11"/>
        <v>14.182857142857143</v>
      </c>
      <c r="AC12" s="176">
        <v>2</v>
      </c>
      <c r="AD12" s="176">
        <v>14.6</v>
      </c>
      <c r="AE12" s="282">
        <f t="shared" si="9"/>
        <v>7.3</v>
      </c>
      <c r="AF12" s="175">
        <v>468</v>
      </c>
      <c r="AG12" s="52">
        <f t="shared" si="0"/>
        <v>1.6548797736916547</v>
      </c>
      <c r="AH12" s="176"/>
      <c r="AI12" s="235"/>
      <c r="AJ12" s="176"/>
      <c r="AK12" s="176"/>
      <c r="AL12" s="227">
        <v>106</v>
      </c>
      <c r="AM12" s="260">
        <v>1022.9100000000001</v>
      </c>
      <c r="AN12" s="172">
        <f t="shared" si="12"/>
        <v>9.6500943396226422</v>
      </c>
      <c r="AO12" s="258">
        <f t="shared" si="10"/>
        <v>23177.259099999996</v>
      </c>
    </row>
    <row r="13" spans="1:41" ht="20.100000000000001" customHeight="1" x14ac:dyDescent="0.25">
      <c r="A13" s="283">
        <v>8</v>
      </c>
      <c r="B13" s="175">
        <v>198</v>
      </c>
      <c r="C13" s="176">
        <v>208</v>
      </c>
      <c r="D13" s="176">
        <v>259</v>
      </c>
      <c r="E13" s="176"/>
      <c r="F13" s="165">
        <v>427</v>
      </c>
      <c r="G13" s="176"/>
      <c r="H13" s="52">
        <f t="shared" si="1"/>
        <v>397.20000000000005</v>
      </c>
      <c r="I13" s="177">
        <v>27355.351900000005</v>
      </c>
      <c r="J13" s="94">
        <f t="shared" si="2"/>
        <v>68.870473061430019</v>
      </c>
      <c r="K13" s="261">
        <v>2310.3800000000006</v>
      </c>
      <c r="L13" s="279">
        <f t="shared" si="3"/>
        <v>5.8166666666666673</v>
      </c>
      <c r="M13" s="280">
        <f t="shared" si="4"/>
        <v>74.687139728096682</v>
      </c>
      <c r="N13" s="259">
        <v>41</v>
      </c>
      <c r="O13" s="177">
        <v>2509.1549999999997</v>
      </c>
      <c r="P13" s="279">
        <f t="shared" si="5"/>
        <v>61.198902439024387</v>
      </c>
      <c r="Q13" s="296"/>
      <c r="R13" s="273"/>
      <c r="S13" s="273"/>
      <c r="T13" s="271">
        <f t="shared" si="6"/>
        <v>0</v>
      </c>
      <c r="U13" s="273"/>
      <c r="V13" s="289" t="e">
        <f t="shared" si="7"/>
        <v>#DIV/0!</v>
      </c>
      <c r="W13" s="239"/>
      <c r="X13" s="239"/>
      <c r="Y13" s="270" t="e">
        <f t="shared" si="8"/>
        <v>#DIV/0!</v>
      </c>
      <c r="Z13" s="176">
        <v>43</v>
      </c>
      <c r="AA13" s="177">
        <v>560.28</v>
      </c>
      <c r="AB13" s="271">
        <f t="shared" si="11"/>
        <v>13.029767441860464</v>
      </c>
      <c r="AC13" s="176">
        <v>275</v>
      </c>
      <c r="AD13" s="176">
        <v>1860.24</v>
      </c>
      <c r="AE13" s="282">
        <f t="shared" si="9"/>
        <v>6.7645090909090912</v>
      </c>
      <c r="AF13" s="175">
        <v>910</v>
      </c>
      <c r="AG13" s="52">
        <f t="shared" si="0"/>
        <v>2.0766773162939294</v>
      </c>
      <c r="AH13" s="176"/>
      <c r="AI13" s="235"/>
      <c r="AJ13" s="176">
        <v>4400</v>
      </c>
      <c r="AK13" s="176"/>
      <c r="AL13" s="227">
        <v>106</v>
      </c>
      <c r="AM13" s="260">
        <v>1062.2</v>
      </c>
      <c r="AN13" s="172">
        <f t="shared" si="12"/>
        <v>10.020754716981132</v>
      </c>
      <c r="AO13" s="258">
        <f t="shared" si="10"/>
        <v>40967.606900000006</v>
      </c>
    </row>
    <row r="14" spans="1:41" ht="20.100000000000001" customHeight="1" x14ac:dyDescent="0.25">
      <c r="A14" s="283">
        <v>9</v>
      </c>
      <c r="B14" s="164">
        <v>199</v>
      </c>
      <c r="C14" s="165">
        <v>209</v>
      </c>
      <c r="D14" s="165">
        <v>232</v>
      </c>
      <c r="E14" s="176"/>
      <c r="F14" s="165">
        <v>521</v>
      </c>
      <c r="G14" s="176"/>
      <c r="H14" s="52">
        <f t="shared" si="1"/>
        <v>424.6</v>
      </c>
      <c r="I14" s="177">
        <v>27688.849999999991</v>
      </c>
      <c r="J14" s="94">
        <f t="shared" si="2"/>
        <v>65.211610927932142</v>
      </c>
      <c r="K14" s="261">
        <v>2464.5100000000002</v>
      </c>
      <c r="L14" s="279">
        <f t="shared" si="3"/>
        <v>5.8043099387658978</v>
      </c>
      <c r="M14" s="280">
        <f t="shared" si="4"/>
        <v>71.015920866698053</v>
      </c>
      <c r="N14" s="259">
        <v>42</v>
      </c>
      <c r="O14" s="177">
        <v>2451.0150000000003</v>
      </c>
      <c r="P14" s="279">
        <f t="shared" si="5"/>
        <v>58.357500000000009</v>
      </c>
      <c r="Q14" s="296"/>
      <c r="R14" s="273"/>
      <c r="S14" s="273"/>
      <c r="T14" s="271">
        <f t="shared" si="6"/>
        <v>0</v>
      </c>
      <c r="U14" s="273"/>
      <c r="V14" s="289" t="e">
        <f t="shared" si="7"/>
        <v>#DIV/0!</v>
      </c>
      <c r="W14" s="239"/>
      <c r="X14" s="239"/>
      <c r="Y14" s="270" t="e">
        <f t="shared" si="8"/>
        <v>#DIV/0!</v>
      </c>
      <c r="Z14" s="176">
        <v>49</v>
      </c>
      <c r="AA14" s="177">
        <v>823.4</v>
      </c>
      <c r="AB14" s="271">
        <f t="shared" si="11"/>
        <v>16.804081632653062</v>
      </c>
      <c r="AC14" s="176">
        <v>130</v>
      </c>
      <c r="AD14" s="176">
        <v>891.4</v>
      </c>
      <c r="AE14" s="282">
        <f t="shared" si="9"/>
        <v>6.8569230769230769</v>
      </c>
      <c r="AF14" s="175">
        <v>403</v>
      </c>
      <c r="AG14" s="52">
        <f t="shared" si="0"/>
        <v>0.86369481354479205</v>
      </c>
      <c r="AH14" s="176"/>
      <c r="AI14" s="235"/>
      <c r="AJ14" s="176">
        <v>531.86</v>
      </c>
      <c r="AK14" s="176"/>
      <c r="AL14" s="227">
        <v>106</v>
      </c>
      <c r="AM14" s="260">
        <v>1054.1600000000001</v>
      </c>
      <c r="AN14" s="172">
        <f t="shared" si="12"/>
        <v>9.9449056603773585</v>
      </c>
      <c r="AO14" s="258">
        <f t="shared" si="10"/>
        <v>36308.194999999992</v>
      </c>
    </row>
    <row r="15" spans="1:41" ht="20.100000000000001" customHeight="1" x14ac:dyDescent="0.25">
      <c r="A15" s="283">
        <v>10</v>
      </c>
      <c r="B15" s="164">
        <v>198</v>
      </c>
      <c r="C15" s="165">
        <v>207</v>
      </c>
      <c r="D15" s="165">
        <v>212</v>
      </c>
      <c r="E15" s="176"/>
      <c r="F15" s="165">
        <v>426</v>
      </c>
      <c r="G15" s="176"/>
      <c r="H15" s="52">
        <f t="shared" si="1"/>
        <v>377.6</v>
      </c>
      <c r="I15" s="177">
        <v>24938.884800000003</v>
      </c>
      <c r="J15" s="94">
        <f t="shared" si="2"/>
        <v>66.045775423728813</v>
      </c>
      <c r="K15" s="261">
        <v>2464.5600000000004</v>
      </c>
      <c r="L15" s="279">
        <f t="shared" si="3"/>
        <v>6.5269067796610178</v>
      </c>
      <c r="M15" s="280">
        <f t="shared" si="4"/>
        <v>72.572682203389846</v>
      </c>
      <c r="N15" s="259">
        <v>43</v>
      </c>
      <c r="O15" s="177">
        <v>2791.5300000000007</v>
      </c>
      <c r="P15" s="279">
        <f t="shared" si="5"/>
        <v>64.919302325581413</v>
      </c>
      <c r="Q15" s="296"/>
      <c r="R15" s="273"/>
      <c r="S15" s="273"/>
      <c r="T15" s="271">
        <f t="shared" si="6"/>
        <v>0</v>
      </c>
      <c r="U15" s="273"/>
      <c r="V15" s="289" t="e">
        <f t="shared" si="7"/>
        <v>#DIV/0!</v>
      </c>
      <c r="W15" s="239"/>
      <c r="X15" s="239"/>
      <c r="Y15" s="270" t="e">
        <f t="shared" si="8"/>
        <v>#DIV/0!</v>
      </c>
      <c r="Z15" s="176">
        <v>40</v>
      </c>
      <c r="AA15" s="177">
        <v>567.55999999999995</v>
      </c>
      <c r="AB15" s="271">
        <f t="shared" si="11"/>
        <v>14.188999999999998</v>
      </c>
      <c r="AC15" s="176">
        <v>132</v>
      </c>
      <c r="AD15" s="176">
        <v>940.86999999999989</v>
      </c>
      <c r="AE15" s="282">
        <f t="shared" si="9"/>
        <v>7.1278030303030295</v>
      </c>
      <c r="AF15" s="175">
        <v>365.34</v>
      </c>
      <c r="AG15" s="52">
        <f t="shared" si="0"/>
        <v>0.86861626248216828</v>
      </c>
      <c r="AH15" s="176">
        <v>303.06</v>
      </c>
      <c r="AI15" s="235"/>
      <c r="AJ15" s="176"/>
      <c r="AK15" s="176">
        <v>413.09999999999997</v>
      </c>
      <c r="AL15" s="227">
        <v>106</v>
      </c>
      <c r="AM15" s="260">
        <v>1022.9300000000001</v>
      </c>
      <c r="AN15" s="172">
        <f t="shared" si="12"/>
        <v>9.6502830188679258</v>
      </c>
      <c r="AO15" s="258">
        <f t="shared" si="10"/>
        <v>33807.834800000004</v>
      </c>
    </row>
    <row r="16" spans="1:41" ht="20.100000000000001" customHeight="1" x14ac:dyDescent="0.25">
      <c r="A16" s="283">
        <v>11</v>
      </c>
      <c r="B16" s="164">
        <v>199</v>
      </c>
      <c r="C16" s="165">
        <v>209</v>
      </c>
      <c r="D16" s="165">
        <v>205</v>
      </c>
      <c r="E16" s="176"/>
      <c r="F16" s="165">
        <v>428</v>
      </c>
      <c r="G16" s="176"/>
      <c r="H16" s="52">
        <f t="shared" si="1"/>
        <v>376.6</v>
      </c>
      <c r="I16" s="177">
        <v>27232.097999999991</v>
      </c>
      <c r="J16" s="94">
        <f t="shared" si="2"/>
        <v>72.310403611258607</v>
      </c>
      <c r="K16" s="261">
        <v>2686.04</v>
      </c>
      <c r="L16" s="279">
        <f t="shared" si="3"/>
        <v>7.1323420074349437</v>
      </c>
      <c r="M16" s="280">
        <f t="shared" si="4"/>
        <v>79.44274561869355</v>
      </c>
      <c r="N16" s="175">
        <v>43</v>
      </c>
      <c r="O16" s="177">
        <v>2593.1200000000008</v>
      </c>
      <c r="P16" s="279">
        <f t="shared" si="5"/>
        <v>60.305116279069786</v>
      </c>
      <c r="Q16" s="296"/>
      <c r="R16" s="273"/>
      <c r="S16" s="273"/>
      <c r="T16" s="271">
        <f t="shared" si="6"/>
        <v>0</v>
      </c>
      <c r="U16" s="273"/>
      <c r="V16" s="289" t="e">
        <f t="shared" si="7"/>
        <v>#DIV/0!</v>
      </c>
      <c r="W16" s="239"/>
      <c r="X16" s="239"/>
      <c r="Y16" s="270" t="e">
        <f t="shared" si="8"/>
        <v>#DIV/0!</v>
      </c>
      <c r="Z16" s="176">
        <v>25</v>
      </c>
      <c r="AA16" s="177">
        <v>349.78</v>
      </c>
      <c r="AB16" s="271">
        <f t="shared" si="11"/>
        <v>13.991199999999999</v>
      </c>
      <c r="AC16" s="176">
        <v>123</v>
      </c>
      <c r="AD16" s="176">
        <v>853.75</v>
      </c>
      <c r="AE16" s="282">
        <f t="shared" si="9"/>
        <v>6.941056910569106</v>
      </c>
      <c r="AF16" s="175">
        <v>787.3</v>
      </c>
      <c r="AG16" s="52">
        <f t="shared" si="0"/>
        <v>1.8763107721639656</v>
      </c>
      <c r="AH16" s="176">
        <v>265.47000000000003</v>
      </c>
      <c r="AI16" s="235"/>
      <c r="AJ16" s="176">
        <v>562.08000000000004</v>
      </c>
      <c r="AK16" s="176">
        <v>6885</v>
      </c>
      <c r="AL16" s="227">
        <v>106</v>
      </c>
      <c r="AM16" s="260">
        <v>1187.95</v>
      </c>
      <c r="AN16" s="172">
        <f t="shared" si="12"/>
        <v>11.207075471698113</v>
      </c>
      <c r="AO16" s="258">
        <f t="shared" si="10"/>
        <v>43402.587999999989</v>
      </c>
    </row>
    <row r="17" spans="1:41" ht="20.100000000000001" customHeight="1" x14ac:dyDescent="0.25">
      <c r="A17" s="283">
        <v>12</v>
      </c>
      <c r="B17" s="164">
        <v>198</v>
      </c>
      <c r="C17" s="165">
        <v>210</v>
      </c>
      <c r="D17" s="176">
        <v>204</v>
      </c>
      <c r="E17" s="176"/>
      <c r="F17" s="165">
        <v>412</v>
      </c>
      <c r="G17" s="176"/>
      <c r="H17" s="52">
        <f t="shared" si="1"/>
        <v>370.00000000000006</v>
      </c>
      <c r="I17" s="177">
        <v>24969.219250000002</v>
      </c>
      <c r="J17" s="94">
        <f t="shared" si="2"/>
        <v>67.484376351351344</v>
      </c>
      <c r="K17" s="261">
        <v>1995.04</v>
      </c>
      <c r="L17" s="279">
        <f t="shared" si="3"/>
        <v>5.3919999999999995</v>
      </c>
      <c r="M17" s="280">
        <f t="shared" si="4"/>
        <v>72.876376351351354</v>
      </c>
      <c r="N17" s="175">
        <v>43</v>
      </c>
      <c r="O17" s="177">
        <v>2468.6099999999997</v>
      </c>
      <c r="P17" s="279">
        <f t="shared" si="5"/>
        <v>57.409534883720923</v>
      </c>
      <c r="Q17" s="296"/>
      <c r="R17" s="273"/>
      <c r="S17" s="273"/>
      <c r="T17" s="271">
        <f t="shared" si="6"/>
        <v>0</v>
      </c>
      <c r="U17" s="273"/>
      <c r="V17" s="289" t="e">
        <f t="shared" si="7"/>
        <v>#DIV/0!</v>
      </c>
      <c r="W17" s="239"/>
      <c r="X17" s="239"/>
      <c r="Y17" s="270" t="e">
        <f t="shared" si="8"/>
        <v>#DIV/0!</v>
      </c>
      <c r="Z17" s="176">
        <v>10</v>
      </c>
      <c r="AA17" s="177">
        <v>146</v>
      </c>
      <c r="AB17" s="271">
        <f t="shared" si="11"/>
        <v>14.6</v>
      </c>
      <c r="AC17" s="176">
        <v>128</v>
      </c>
      <c r="AD17" s="176">
        <v>866.37000000000012</v>
      </c>
      <c r="AE17" s="282">
        <f t="shared" si="9"/>
        <v>6.7685156250000009</v>
      </c>
      <c r="AF17" s="175">
        <v>408</v>
      </c>
      <c r="AG17" s="52">
        <f t="shared" si="0"/>
        <v>0.98789346246973353</v>
      </c>
      <c r="AH17" s="176"/>
      <c r="AI17" s="235"/>
      <c r="AJ17" s="176">
        <v>4942.83</v>
      </c>
      <c r="AK17" s="176"/>
      <c r="AL17" s="227">
        <v>106</v>
      </c>
      <c r="AM17" s="260">
        <v>1063.71</v>
      </c>
      <c r="AN17" s="172">
        <f t="shared" si="12"/>
        <v>10.035</v>
      </c>
      <c r="AO17" s="258">
        <f t="shared" si="10"/>
        <v>36859.779250000007</v>
      </c>
    </row>
    <row r="18" spans="1:41" ht="20.100000000000001" customHeight="1" x14ac:dyDescent="0.25">
      <c r="A18" s="283">
        <v>13</v>
      </c>
      <c r="B18" s="164">
        <v>83</v>
      </c>
      <c r="C18" s="165">
        <v>94</v>
      </c>
      <c r="D18" s="165">
        <v>86</v>
      </c>
      <c r="E18" s="176"/>
      <c r="F18" s="165">
        <v>380</v>
      </c>
      <c r="G18" s="176"/>
      <c r="H18" s="52">
        <f t="shared" si="1"/>
        <v>240.6</v>
      </c>
      <c r="I18" s="177">
        <v>15922.25</v>
      </c>
      <c r="J18" s="94">
        <f t="shared" si="2"/>
        <v>66.17726517040731</v>
      </c>
      <c r="K18" s="261">
        <v>1818.5599999999997</v>
      </c>
      <c r="L18" s="279">
        <f t="shared" si="3"/>
        <v>7.5584372402327507</v>
      </c>
      <c r="M18" s="280">
        <f t="shared" si="4"/>
        <v>73.735702410640073</v>
      </c>
      <c r="N18" s="175">
        <v>39</v>
      </c>
      <c r="O18" s="177">
        <v>2513.5650000000005</v>
      </c>
      <c r="P18" s="279">
        <f t="shared" si="5"/>
        <v>64.450384615384635</v>
      </c>
      <c r="Q18" s="296"/>
      <c r="R18" s="273"/>
      <c r="S18" s="273"/>
      <c r="T18" s="271">
        <f t="shared" si="6"/>
        <v>0</v>
      </c>
      <c r="U18" s="273"/>
      <c r="V18" s="289" t="e">
        <f t="shared" si="7"/>
        <v>#DIV/0!</v>
      </c>
      <c r="W18" s="239"/>
      <c r="X18" s="239"/>
      <c r="Y18" s="270" t="e">
        <f t="shared" si="8"/>
        <v>#DIV/0!</v>
      </c>
      <c r="Z18" s="176">
        <v>7</v>
      </c>
      <c r="AA18" s="177">
        <v>99.28</v>
      </c>
      <c r="AB18" s="271">
        <f t="shared" si="11"/>
        <v>14.182857142857143</v>
      </c>
      <c r="AC18" s="176">
        <v>2</v>
      </c>
      <c r="AD18" s="176">
        <v>14.6</v>
      </c>
      <c r="AE18" s="282">
        <f t="shared" si="9"/>
        <v>7.3</v>
      </c>
      <c r="AF18" s="175">
        <v>621</v>
      </c>
      <c r="AG18" s="52">
        <f t="shared" si="0"/>
        <v>2.2210300429184548</v>
      </c>
      <c r="AH18" s="176">
        <v>293.63</v>
      </c>
      <c r="AI18" s="235"/>
      <c r="AJ18" s="176"/>
      <c r="AK18" s="176"/>
      <c r="AL18" s="227">
        <v>106</v>
      </c>
      <c r="AM18" s="260">
        <v>1130.42</v>
      </c>
      <c r="AN18" s="172">
        <f t="shared" si="12"/>
        <v>10.66433962264151</v>
      </c>
      <c r="AO18" s="258">
        <f t="shared" si="10"/>
        <v>22413.305</v>
      </c>
    </row>
    <row r="19" spans="1:41" ht="20.100000000000001" customHeight="1" x14ac:dyDescent="0.25">
      <c r="A19" s="283">
        <v>14</v>
      </c>
      <c r="B19" s="164">
        <v>85</v>
      </c>
      <c r="C19" s="165">
        <v>93</v>
      </c>
      <c r="D19" s="165">
        <v>85</v>
      </c>
      <c r="E19" s="176"/>
      <c r="F19" s="165">
        <v>380</v>
      </c>
      <c r="G19" s="176"/>
      <c r="H19" s="52">
        <f t="shared" si="1"/>
        <v>240.20000000000002</v>
      </c>
      <c r="I19" s="177">
        <v>17209.670000000002</v>
      </c>
      <c r="J19" s="94">
        <f t="shared" si="2"/>
        <v>71.647252289758541</v>
      </c>
      <c r="K19" s="261">
        <v>1529.1599999999999</v>
      </c>
      <c r="L19" s="279">
        <f t="shared" si="3"/>
        <v>6.3661948376353026</v>
      </c>
      <c r="M19" s="280">
        <f t="shared" si="4"/>
        <v>78.013447127393846</v>
      </c>
      <c r="N19" s="175">
        <v>43</v>
      </c>
      <c r="O19" s="177">
        <v>2563.1538500000001</v>
      </c>
      <c r="P19" s="279">
        <f t="shared" si="5"/>
        <v>59.608229069767447</v>
      </c>
      <c r="Q19" s="296"/>
      <c r="R19" s="273"/>
      <c r="S19" s="273"/>
      <c r="T19" s="271">
        <f t="shared" si="6"/>
        <v>0</v>
      </c>
      <c r="U19" s="273"/>
      <c r="V19" s="289" t="e">
        <f t="shared" si="7"/>
        <v>#DIV/0!</v>
      </c>
      <c r="W19" s="239"/>
      <c r="X19" s="284">
        <v>16465.3459</v>
      </c>
      <c r="Y19" s="270" t="e">
        <f t="shared" si="8"/>
        <v>#DIV/0!</v>
      </c>
      <c r="Z19" s="176">
        <v>7</v>
      </c>
      <c r="AA19" s="177">
        <v>99.28</v>
      </c>
      <c r="AB19" s="271">
        <f t="shared" si="11"/>
        <v>14.182857142857143</v>
      </c>
      <c r="AC19" s="176">
        <v>2</v>
      </c>
      <c r="AD19" s="176">
        <v>14.6</v>
      </c>
      <c r="AE19" s="282">
        <f t="shared" si="9"/>
        <v>7.3</v>
      </c>
      <c r="AF19" s="175">
        <v>308</v>
      </c>
      <c r="AG19" s="52">
        <f t="shared" si="0"/>
        <v>1.0875706214689265</v>
      </c>
      <c r="AH19" s="176"/>
      <c r="AI19" s="235"/>
      <c r="AJ19" s="177">
        <v>36181.743999999999</v>
      </c>
      <c r="AK19" s="176"/>
      <c r="AL19" s="227">
        <v>106</v>
      </c>
      <c r="AM19" s="260">
        <v>1084.3899999999999</v>
      </c>
      <c r="AN19" s="172">
        <f t="shared" si="12"/>
        <v>10.23009433962264</v>
      </c>
      <c r="AO19" s="258">
        <f t="shared" si="10"/>
        <v>75455.34375</v>
      </c>
    </row>
    <row r="20" spans="1:41" ht="20.100000000000001" customHeight="1" x14ac:dyDescent="0.25">
      <c r="A20" s="283">
        <v>15</v>
      </c>
      <c r="B20" s="175">
        <v>199</v>
      </c>
      <c r="C20" s="176">
        <v>209</v>
      </c>
      <c r="D20" s="165">
        <v>240</v>
      </c>
      <c r="E20" s="176"/>
      <c r="F20" s="165">
        <v>426</v>
      </c>
      <c r="G20" s="176"/>
      <c r="H20" s="52">
        <f t="shared" si="1"/>
        <v>389.8</v>
      </c>
      <c r="I20" s="177">
        <v>26633.759999999995</v>
      </c>
      <c r="J20" s="94">
        <f t="shared" si="2"/>
        <v>68.326731657260112</v>
      </c>
      <c r="K20" s="261">
        <v>2099.9900000000002</v>
      </c>
      <c r="L20" s="279">
        <f t="shared" si="3"/>
        <v>5.387352488455619</v>
      </c>
      <c r="M20" s="280">
        <f t="shared" si="4"/>
        <v>73.714084145715745</v>
      </c>
      <c r="N20" s="175">
        <v>42</v>
      </c>
      <c r="O20" s="177">
        <v>2135.585</v>
      </c>
      <c r="P20" s="279">
        <f t="shared" si="5"/>
        <v>50.847261904761908</v>
      </c>
      <c r="Q20" s="110">
        <v>1</v>
      </c>
      <c r="R20" s="110">
        <v>2</v>
      </c>
      <c r="S20" s="110">
        <v>2</v>
      </c>
      <c r="T20" s="271">
        <f t="shared" si="6"/>
        <v>1.8</v>
      </c>
      <c r="U20" s="273">
        <v>98.3</v>
      </c>
      <c r="V20" s="289">
        <f t="shared" si="7"/>
        <v>54.611111111111107</v>
      </c>
      <c r="W20" s="239"/>
      <c r="X20" s="239"/>
      <c r="Y20" s="270" t="e">
        <f t="shared" si="8"/>
        <v>#DIV/0!</v>
      </c>
      <c r="Z20" s="176">
        <v>40</v>
      </c>
      <c r="AA20" s="177">
        <v>571.9</v>
      </c>
      <c r="AB20" s="271">
        <f t="shared" si="11"/>
        <v>14.297499999999999</v>
      </c>
      <c r="AC20" s="176">
        <v>274</v>
      </c>
      <c r="AD20" s="176">
        <v>1885.56</v>
      </c>
      <c r="AE20" s="282">
        <f t="shared" si="9"/>
        <v>6.881605839416058</v>
      </c>
      <c r="AF20" s="175">
        <v>322.19</v>
      </c>
      <c r="AG20" s="52">
        <f t="shared" si="0"/>
        <v>0.7461556276053728</v>
      </c>
      <c r="AH20" s="176"/>
      <c r="AI20" s="235"/>
      <c r="AJ20" s="176">
        <v>1176</v>
      </c>
      <c r="AK20" s="176">
        <v>1377</v>
      </c>
      <c r="AL20" s="227">
        <v>106</v>
      </c>
      <c r="AM20" s="260">
        <v>1060.3800000000001</v>
      </c>
      <c r="AN20" s="172">
        <f t="shared" si="12"/>
        <v>10.003584905660379</v>
      </c>
      <c r="AO20" s="258">
        <f t="shared" si="10"/>
        <v>37360.664999999994</v>
      </c>
    </row>
    <row r="21" spans="1:41" ht="20.100000000000001" customHeight="1" x14ac:dyDescent="0.25">
      <c r="A21" s="283">
        <v>16</v>
      </c>
      <c r="B21" s="164">
        <v>198</v>
      </c>
      <c r="C21" s="165">
        <v>210</v>
      </c>
      <c r="D21" s="176">
        <v>223</v>
      </c>
      <c r="E21" s="176"/>
      <c r="F21" s="165">
        <v>428</v>
      </c>
      <c r="G21" s="176"/>
      <c r="H21" s="52">
        <f t="shared" si="1"/>
        <v>384.00000000000006</v>
      </c>
      <c r="I21" s="177">
        <v>24931.840499999998</v>
      </c>
      <c r="J21" s="94">
        <f t="shared" si="2"/>
        <v>64.926667968749982</v>
      </c>
      <c r="K21" s="261">
        <v>1688.2899999999997</v>
      </c>
      <c r="L21" s="279">
        <f t="shared" si="3"/>
        <v>4.3965885416666657</v>
      </c>
      <c r="M21" s="280">
        <f t="shared" si="4"/>
        <v>69.323256510416655</v>
      </c>
      <c r="N21" s="175">
        <v>44</v>
      </c>
      <c r="O21" s="177">
        <v>2291.42</v>
      </c>
      <c r="P21" s="279">
        <f t="shared" si="5"/>
        <v>52.077727272727273</v>
      </c>
      <c r="Q21" s="110">
        <v>2</v>
      </c>
      <c r="R21" s="110">
        <v>2</v>
      </c>
      <c r="S21" s="110">
        <v>2</v>
      </c>
      <c r="T21" s="271">
        <f t="shared" si="6"/>
        <v>2</v>
      </c>
      <c r="U21" s="273">
        <v>128.35</v>
      </c>
      <c r="V21" s="289">
        <f t="shared" si="7"/>
        <v>64.174999999999997</v>
      </c>
      <c r="W21" s="239"/>
      <c r="X21" s="239"/>
      <c r="Y21" s="270" t="e">
        <f t="shared" si="8"/>
        <v>#DIV/0!</v>
      </c>
      <c r="Z21" s="176">
        <v>43</v>
      </c>
      <c r="AA21" s="177">
        <v>561.94000000000005</v>
      </c>
      <c r="AB21" s="271">
        <f t="shared" si="11"/>
        <v>13.068372093023257</v>
      </c>
      <c r="AC21" s="176">
        <v>130</v>
      </c>
      <c r="AD21" s="176">
        <v>881.11</v>
      </c>
      <c r="AE21" s="282">
        <f t="shared" si="9"/>
        <v>6.7777692307692305</v>
      </c>
      <c r="AF21" s="175">
        <v>238</v>
      </c>
      <c r="AG21" s="52">
        <f t="shared" si="0"/>
        <v>0.55607476635514008</v>
      </c>
      <c r="AH21" s="176">
        <v>291.98</v>
      </c>
      <c r="AI21" s="235"/>
      <c r="AJ21" s="176">
        <v>423.3</v>
      </c>
      <c r="AK21" s="176"/>
      <c r="AL21" s="227">
        <v>106</v>
      </c>
      <c r="AM21" s="260">
        <v>1026.1100000000001</v>
      </c>
      <c r="AN21" s="172">
        <f t="shared" si="12"/>
        <v>9.6802830188679252</v>
      </c>
      <c r="AO21" s="258">
        <f t="shared" si="10"/>
        <v>32462.340499999998</v>
      </c>
    </row>
    <row r="22" spans="1:41" ht="20.100000000000001" customHeight="1" x14ac:dyDescent="0.25">
      <c r="A22" s="283">
        <v>17</v>
      </c>
      <c r="B22" s="175">
        <v>199</v>
      </c>
      <c r="C22" s="176">
        <v>209</v>
      </c>
      <c r="D22" s="165">
        <v>233</v>
      </c>
      <c r="E22" s="176"/>
      <c r="F22" s="165">
        <v>428</v>
      </c>
      <c r="G22" s="176"/>
      <c r="H22" s="52">
        <f t="shared" si="1"/>
        <v>387.8</v>
      </c>
      <c r="I22" s="177">
        <v>28968.760000000002</v>
      </c>
      <c r="J22" s="94">
        <f t="shared" si="2"/>
        <v>74.700257864878807</v>
      </c>
      <c r="K22" s="261">
        <v>2255.6999999999998</v>
      </c>
      <c r="L22" s="279">
        <f t="shared" si="3"/>
        <v>5.8166580711707061</v>
      </c>
      <c r="M22" s="280">
        <f t="shared" si="4"/>
        <v>80.516915936049514</v>
      </c>
      <c r="N22" s="175">
        <v>44</v>
      </c>
      <c r="O22" s="177">
        <v>2565.1250000000005</v>
      </c>
      <c r="P22" s="279">
        <f t="shared" si="5"/>
        <v>58.298295454545467</v>
      </c>
      <c r="Q22" s="110">
        <v>3</v>
      </c>
      <c r="R22" s="110">
        <v>3</v>
      </c>
      <c r="S22" s="110">
        <v>3</v>
      </c>
      <c r="T22" s="271">
        <f t="shared" si="6"/>
        <v>3.0000000000000004</v>
      </c>
      <c r="U22" s="273">
        <v>161.4</v>
      </c>
      <c r="V22" s="289">
        <f t="shared" si="7"/>
        <v>53.8</v>
      </c>
      <c r="W22" s="239">
        <v>70</v>
      </c>
      <c r="X22" s="239">
        <v>4303.3599999999997</v>
      </c>
      <c r="Y22" s="270">
        <f t="shared" si="8"/>
        <v>61.476571428571425</v>
      </c>
      <c r="Z22" s="176">
        <v>62</v>
      </c>
      <c r="AA22" s="177">
        <v>946.05</v>
      </c>
      <c r="AB22" s="271">
        <f t="shared" si="11"/>
        <v>15.258870967741935</v>
      </c>
      <c r="AC22" s="176">
        <v>132</v>
      </c>
      <c r="AD22" s="176">
        <v>850.85</v>
      </c>
      <c r="AE22" s="282">
        <f t="shared" si="9"/>
        <v>6.4458333333333337</v>
      </c>
      <c r="AF22" s="175">
        <v>635.78</v>
      </c>
      <c r="AG22" s="52">
        <f t="shared" si="0"/>
        <v>1.4723946271421953</v>
      </c>
      <c r="AH22" s="176"/>
      <c r="AI22" s="235"/>
      <c r="AJ22" s="176">
        <v>1170.9000000000001</v>
      </c>
      <c r="AK22" s="176"/>
      <c r="AL22" s="227">
        <v>106</v>
      </c>
      <c r="AM22" s="260">
        <v>1012.11</v>
      </c>
      <c r="AN22" s="172">
        <f t="shared" si="12"/>
        <v>9.5482075471698113</v>
      </c>
      <c r="AO22" s="258">
        <f t="shared" si="10"/>
        <v>42870.035000000003</v>
      </c>
    </row>
    <row r="23" spans="1:41" ht="20.100000000000001" customHeight="1" x14ac:dyDescent="0.25">
      <c r="A23" s="283">
        <v>18</v>
      </c>
      <c r="B23" s="175">
        <v>199</v>
      </c>
      <c r="C23" s="176">
        <v>209</v>
      </c>
      <c r="D23" s="165">
        <v>211</v>
      </c>
      <c r="E23" s="176"/>
      <c r="F23" s="165">
        <v>421</v>
      </c>
      <c r="G23" s="176"/>
      <c r="H23" s="52">
        <f t="shared" si="1"/>
        <v>376.20000000000005</v>
      </c>
      <c r="I23" s="177">
        <v>25528.899999999998</v>
      </c>
      <c r="J23" s="94">
        <f t="shared" si="2"/>
        <v>67.859914938862289</v>
      </c>
      <c r="K23" s="261">
        <v>2157.64</v>
      </c>
      <c r="L23" s="279">
        <f t="shared" si="3"/>
        <v>5.7353535353535348</v>
      </c>
      <c r="M23" s="280">
        <f t="shared" si="4"/>
        <v>73.595268474215828</v>
      </c>
      <c r="N23" s="175">
        <v>44</v>
      </c>
      <c r="O23" s="177">
        <v>2541.5500000000006</v>
      </c>
      <c r="P23" s="279">
        <f t="shared" si="5"/>
        <v>57.762500000000017</v>
      </c>
      <c r="Q23" s="110">
        <v>3</v>
      </c>
      <c r="R23" s="110">
        <v>3</v>
      </c>
      <c r="S23" s="110">
        <v>3</v>
      </c>
      <c r="T23" s="271">
        <f t="shared" si="6"/>
        <v>3.0000000000000004</v>
      </c>
      <c r="U23" s="273">
        <v>164.9</v>
      </c>
      <c r="V23" s="289">
        <f t="shared" si="7"/>
        <v>54.966666666666661</v>
      </c>
      <c r="W23" s="239"/>
      <c r="X23" s="239"/>
      <c r="Y23" s="270" t="e">
        <f t="shared" si="8"/>
        <v>#DIV/0!</v>
      </c>
      <c r="Z23" s="176">
        <v>40</v>
      </c>
      <c r="AA23" s="177">
        <v>664.47</v>
      </c>
      <c r="AB23" s="271">
        <f t="shared" si="11"/>
        <v>16.611750000000001</v>
      </c>
      <c r="AC23" s="176">
        <v>132</v>
      </c>
      <c r="AD23" s="176">
        <v>1011.38</v>
      </c>
      <c r="AE23" s="282">
        <f t="shared" si="9"/>
        <v>7.6619696969696971</v>
      </c>
      <c r="AF23" s="175">
        <v>382</v>
      </c>
      <c r="AG23" s="52">
        <f t="shared" si="0"/>
        <v>0.90909090909090895</v>
      </c>
      <c r="AH23" s="176">
        <v>331.46000000000004</v>
      </c>
      <c r="AI23" s="235"/>
      <c r="AJ23" s="176"/>
      <c r="AK23" s="176"/>
      <c r="AL23" s="227">
        <v>106</v>
      </c>
      <c r="AM23" s="260">
        <v>1033.25</v>
      </c>
      <c r="AN23" s="172">
        <f t="shared" si="12"/>
        <v>9.7476415094339615</v>
      </c>
      <c r="AO23" s="258">
        <f t="shared" si="10"/>
        <v>33815.549999999996</v>
      </c>
    </row>
    <row r="24" spans="1:41" ht="20.100000000000001" customHeight="1" x14ac:dyDescent="0.25">
      <c r="A24" s="283">
        <v>19</v>
      </c>
      <c r="B24" s="175">
        <v>198</v>
      </c>
      <c r="C24" s="176">
        <v>206</v>
      </c>
      <c r="D24" s="165">
        <v>200</v>
      </c>
      <c r="E24" s="176"/>
      <c r="F24" s="165">
        <v>406</v>
      </c>
      <c r="G24" s="176"/>
      <c r="H24" s="52">
        <f t="shared" si="1"/>
        <v>364.40000000000003</v>
      </c>
      <c r="I24" s="177">
        <v>32719.54</v>
      </c>
      <c r="J24" s="94">
        <f t="shared" si="2"/>
        <v>89.790175631174534</v>
      </c>
      <c r="K24" s="261">
        <v>1693.58</v>
      </c>
      <c r="L24" s="279">
        <f t="shared" si="3"/>
        <v>4.6475850713501643</v>
      </c>
      <c r="M24" s="280">
        <f t="shared" si="4"/>
        <v>94.437760702524699</v>
      </c>
      <c r="N24" s="175">
        <v>42</v>
      </c>
      <c r="O24" s="177">
        <v>2500.2749999999996</v>
      </c>
      <c r="P24" s="279">
        <f t="shared" si="5"/>
        <v>59.530357142857135</v>
      </c>
      <c r="Q24" s="110">
        <v>2</v>
      </c>
      <c r="R24" s="110">
        <v>2</v>
      </c>
      <c r="S24" s="110">
        <v>2</v>
      </c>
      <c r="T24" s="271">
        <f t="shared" si="6"/>
        <v>2</v>
      </c>
      <c r="U24" s="273">
        <v>127</v>
      </c>
      <c r="V24" s="289">
        <f t="shared" si="7"/>
        <v>63.5</v>
      </c>
      <c r="W24" s="239"/>
      <c r="X24" s="239"/>
      <c r="Y24" s="270" t="e">
        <f t="shared" si="8"/>
        <v>#DIV/0!</v>
      </c>
      <c r="Z24" s="176">
        <v>0</v>
      </c>
      <c r="AA24" s="177"/>
      <c r="AB24" s="271" t="e">
        <f t="shared" si="11"/>
        <v>#DIV/0!</v>
      </c>
      <c r="AC24" s="176">
        <v>0</v>
      </c>
      <c r="AD24" s="176"/>
      <c r="AE24" s="282" t="e">
        <f t="shared" si="9"/>
        <v>#DIV/0!</v>
      </c>
      <c r="AF24" s="175">
        <v>471.3</v>
      </c>
      <c r="AG24" s="52">
        <f t="shared" si="0"/>
        <v>1.1596948818897637</v>
      </c>
      <c r="AH24" s="176"/>
      <c r="AI24" s="235"/>
      <c r="AJ24" s="176"/>
      <c r="AK24" s="176"/>
      <c r="AL24" s="227">
        <v>106</v>
      </c>
      <c r="AM24" s="260">
        <v>1270.78575</v>
      </c>
      <c r="AN24" s="172">
        <f t="shared" si="12"/>
        <v>11.988544811320756</v>
      </c>
      <c r="AO24" s="258">
        <f t="shared" si="10"/>
        <v>38782.480750000002</v>
      </c>
    </row>
    <row r="25" spans="1:41" ht="20.100000000000001" customHeight="1" x14ac:dyDescent="0.25">
      <c r="A25" s="283">
        <v>20</v>
      </c>
      <c r="B25" s="164">
        <v>83</v>
      </c>
      <c r="C25" s="165">
        <v>92</v>
      </c>
      <c r="D25" s="176">
        <v>85</v>
      </c>
      <c r="E25" s="176"/>
      <c r="F25" s="165">
        <v>380</v>
      </c>
      <c r="G25" s="176"/>
      <c r="H25" s="52">
        <f t="shared" si="1"/>
        <v>239.4</v>
      </c>
      <c r="I25" s="177">
        <v>23017.030000000002</v>
      </c>
      <c r="J25" s="94">
        <f t="shared" si="2"/>
        <v>96.14465329991647</v>
      </c>
      <c r="K25" s="261">
        <v>2230.2599999999998</v>
      </c>
      <c r="L25" s="279">
        <f t="shared" si="3"/>
        <v>9.3160401002506248</v>
      </c>
      <c r="M25" s="280">
        <f t="shared" si="4"/>
        <v>105.46069340016709</v>
      </c>
      <c r="N25" s="175">
        <v>41</v>
      </c>
      <c r="O25" s="177">
        <v>2958.0750000000007</v>
      </c>
      <c r="P25" s="279">
        <f t="shared" si="5"/>
        <v>72.148170731707339</v>
      </c>
      <c r="Q25" s="296"/>
      <c r="R25" s="273"/>
      <c r="S25" s="273"/>
      <c r="T25" s="271">
        <f t="shared" si="6"/>
        <v>0</v>
      </c>
      <c r="U25" s="273"/>
      <c r="V25" s="289" t="e">
        <f t="shared" si="7"/>
        <v>#DIV/0!</v>
      </c>
      <c r="W25" s="239"/>
      <c r="X25" s="239"/>
      <c r="Y25" s="270" t="e">
        <f t="shared" si="8"/>
        <v>#DIV/0!</v>
      </c>
      <c r="Z25" s="176">
        <v>0</v>
      </c>
      <c r="AA25" s="177"/>
      <c r="AB25" s="271" t="e">
        <f t="shared" si="11"/>
        <v>#DIV/0!</v>
      </c>
      <c r="AC25" s="176">
        <v>0</v>
      </c>
      <c r="AD25" s="176"/>
      <c r="AE25" s="282" t="e">
        <f t="shared" si="9"/>
        <v>#DIV/0!</v>
      </c>
      <c r="AF25" s="175">
        <v>172.4</v>
      </c>
      <c r="AG25" s="52">
        <f t="shared" si="0"/>
        <v>0.61483594864479318</v>
      </c>
      <c r="AH25" s="176"/>
      <c r="AI25" s="235"/>
      <c r="AJ25" s="176"/>
      <c r="AK25" s="176"/>
      <c r="AL25" s="227">
        <v>106</v>
      </c>
      <c r="AM25" s="260">
        <v>1114.9499999999998</v>
      </c>
      <c r="AN25" s="172">
        <f t="shared" si="12"/>
        <v>10.518396226415092</v>
      </c>
      <c r="AO25" s="258">
        <f t="shared" si="10"/>
        <v>29492.715000000004</v>
      </c>
    </row>
    <row r="26" spans="1:41" ht="20.100000000000001" customHeight="1" x14ac:dyDescent="0.25">
      <c r="A26" s="283">
        <v>21</v>
      </c>
      <c r="B26" s="164">
        <v>84</v>
      </c>
      <c r="C26" s="165">
        <v>95</v>
      </c>
      <c r="D26" s="176">
        <v>83</v>
      </c>
      <c r="E26" s="176"/>
      <c r="F26" s="165">
        <v>380</v>
      </c>
      <c r="G26" s="176"/>
      <c r="H26" s="52">
        <f t="shared" si="1"/>
        <v>240.00000000000003</v>
      </c>
      <c r="I26" s="177">
        <v>17798.78</v>
      </c>
      <c r="J26" s="94">
        <f t="shared" si="2"/>
        <v>74.161583333333326</v>
      </c>
      <c r="K26" s="261">
        <v>2165.17</v>
      </c>
      <c r="L26" s="279">
        <f t="shared" si="3"/>
        <v>9.0215416666666659</v>
      </c>
      <c r="M26" s="280">
        <f t="shared" si="4"/>
        <v>83.183124999999976</v>
      </c>
      <c r="N26" s="175">
        <v>42</v>
      </c>
      <c r="O26" s="177">
        <v>2158.48</v>
      </c>
      <c r="P26" s="279">
        <f t="shared" si="5"/>
        <v>51.392380952380954</v>
      </c>
      <c r="Q26" s="296"/>
      <c r="R26" s="273"/>
      <c r="S26" s="273"/>
      <c r="T26" s="271">
        <f t="shared" si="6"/>
        <v>0</v>
      </c>
      <c r="U26" s="273"/>
      <c r="V26" s="289" t="e">
        <f t="shared" si="7"/>
        <v>#DIV/0!</v>
      </c>
      <c r="W26" s="239"/>
      <c r="X26" s="239"/>
      <c r="Y26" s="270" t="e">
        <f t="shared" si="8"/>
        <v>#DIV/0!</v>
      </c>
      <c r="Z26" s="176">
        <v>0</v>
      </c>
      <c r="AA26" s="177"/>
      <c r="AB26" s="271" t="e">
        <f t="shared" si="11"/>
        <v>#DIV/0!</v>
      </c>
      <c r="AC26" s="176">
        <v>0</v>
      </c>
      <c r="AD26" s="176"/>
      <c r="AE26" s="282" t="e">
        <f t="shared" si="9"/>
        <v>#DIV/0!</v>
      </c>
      <c r="AF26" s="175">
        <v>708</v>
      </c>
      <c r="AG26" s="52">
        <f t="shared" si="0"/>
        <v>2.5106382978723403</v>
      </c>
      <c r="AH26" s="176"/>
      <c r="AI26" s="235"/>
      <c r="AJ26" s="176"/>
      <c r="AK26" s="176"/>
      <c r="AL26" s="227">
        <v>106</v>
      </c>
      <c r="AM26" s="260">
        <v>1054.79</v>
      </c>
      <c r="AN26" s="172">
        <f t="shared" si="12"/>
        <v>9.9508490566037739</v>
      </c>
      <c r="AO26" s="258">
        <f t="shared" si="10"/>
        <v>23885.22</v>
      </c>
    </row>
    <row r="27" spans="1:41" ht="20.100000000000001" customHeight="1" x14ac:dyDescent="0.25">
      <c r="A27" s="283">
        <v>22</v>
      </c>
      <c r="B27" s="164">
        <v>195</v>
      </c>
      <c r="C27" s="165">
        <v>204</v>
      </c>
      <c r="D27" s="176">
        <v>203</v>
      </c>
      <c r="E27" s="176"/>
      <c r="F27" s="165">
        <v>380</v>
      </c>
      <c r="G27" s="176"/>
      <c r="H27" s="52">
        <f t="shared" si="1"/>
        <v>353.8</v>
      </c>
      <c r="I27" s="177">
        <v>19229.529999999995</v>
      </c>
      <c r="J27" s="94">
        <f t="shared" si="2"/>
        <v>54.351413227812309</v>
      </c>
      <c r="K27" s="261">
        <v>2252.9500000000003</v>
      </c>
      <c r="L27" s="279">
        <f t="shared" si="3"/>
        <v>6.3678631995477675</v>
      </c>
      <c r="M27" s="280">
        <f t="shared" si="4"/>
        <v>60.719276427360079</v>
      </c>
      <c r="N27" s="175">
        <v>42</v>
      </c>
      <c r="O27" s="177">
        <v>2423.3299999999995</v>
      </c>
      <c r="P27" s="279">
        <f t="shared" si="5"/>
        <v>57.698333333333323</v>
      </c>
      <c r="Q27" s="110"/>
      <c r="R27" s="110"/>
      <c r="S27" s="110">
        <v>1</v>
      </c>
      <c r="T27" s="271">
        <f t="shared" si="6"/>
        <v>0.4</v>
      </c>
      <c r="U27" s="273">
        <v>28.9</v>
      </c>
      <c r="V27" s="289">
        <f t="shared" si="7"/>
        <v>72.249999999999986</v>
      </c>
      <c r="W27" s="239"/>
      <c r="X27" s="239"/>
      <c r="Y27" s="270" t="e">
        <f t="shared" si="8"/>
        <v>#DIV/0!</v>
      </c>
      <c r="Z27" s="176"/>
      <c r="AA27" s="177"/>
      <c r="AB27" s="271" t="e">
        <f t="shared" si="11"/>
        <v>#DIV/0!</v>
      </c>
      <c r="AC27" s="176"/>
      <c r="AD27" s="176"/>
      <c r="AE27" s="282" t="e">
        <f t="shared" si="9"/>
        <v>#DIV/0!</v>
      </c>
      <c r="AF27" s="175">
        <v>120</v>
      </c>
      <c r="AG27" s="52">
        <f t="shared" si="0"/>
        <v>0.30318342597271347</v>
      </c>
      <c r="AH27" s="176"/>
      <c r="AI27" s="235"/>
      <c r="AJ27" s="176">
        <v>32.04</v>
      </c>
      <c r="AK27" s="176"/>
      <c r="AL27" s="227">
        <v>106</v>
      </c>
      <c r="AM27" s="260">
        <v>1025.1600000000001</v>
      </c>
      <c r="AN27" s="172">
        <f t="shared" si="12"/>
        <v>9.6713207547169819</v>
      </c>
      <c r="AO27" s="258">
        <f t="shared" si="10"/>
        <v>25111.909999999996</v>
      </c>
    </row>
    <row r="28" spans="1:41" ht="20.100000000000001" customHeight="1" x14ac:dyDescent="0.25">
      <c r="A28" s="283">
        <v>23</v>
      </c>
      <c r="B28" s="164">
        <v>199</v>
      </c>
      <c r="C28" s="165">
        <v>203</v>
      </c>
      <c r="D28" s="165">
        <v>321</v>
      </c>
      <c r="E28" s="176"/>
      <c r="F28" s="165">
        <v>421</v>
      </c>
      <c r="G28" s="176"/>
      <c r="H28" s="52">
        <f t="shared" si="1"/>
        <v>417.8</v>
      </c>
      <c r="I28" s="177">
        <v>21792.74</v>
      </c>
      <c r="J28" s="94">
        <f t="shared" si="2"/>
        <v>52.160698898994738</v>
      </c>
      <c r="K28" s="261">
        <v>1503.72</v>
      </c>
      <c r="L28" s="279">
        <f t="shared" si="3"/>
        <v>3.5991383437051221</v>
      </c>
      <c r="M28" s="280">
        <f t="shared" si="4"/>
        <v>55.759837242699859</v>
      </c>
      <c r="N28" s="175">
        <v>42</v>
      </c>
      <c r="O28" s="177">
        <v>2240.1372000000001</v>
      </c>
      <c r="P28" s="279">
        <f t="shared" si="5"/>
        <v>53.336600000000004</v>
      </c>
      <c r="Q28" s="110">
        <v>1</v>
      </c>
      <c r="R28" s="110">
        <v>1</v>
      </c>
      <c r="S28" s="110">
        <v>1</v>
      </c>
      <c r="T28" s="271">
        <f t="shared" si="6"/>
        <v>1</v>
      </c>
      <c r="U28" s="273">
        <v>46.7</v>
      </c>
      <c r="V28" s="289">
        <f t="shared" si="7"/>
        <v>46.7</v>
      </c>
      <c r="W28" s="239"/>
      <c r="X28" s="239"/>
      <c r="Y28" s="270" t="e">
        <f t="shared" si="8"/>
        <v>#DIV/0!</v>
      </c>
      <c r="Z28" s="176"/>
      <c r="AA28" s="177"/>
      <c r="AB28" s="271" t="e">
        <f t="shared" si="11"/>
        <v>#DIV/0!</v>
      </c>
      <c r="AC28" s="176">
        <v>134</v>
      </c>
      <c r="AD28" s="176">
        <v>953.83999999999992</v>
      </c>
      <c r="AE28" s="282">
        <f t="shared" si="9"/>
        <v>7.1182089552238796</v>
      </c>
      <c r="AF28" s="175">
        <v>276.8</v>
      </c>
      <c r="AG28" s="52">
        <f t="shared" si="0"/>
        <v>0.6020008699434537</v>
      </c>
      <c r="AH28" s="176">
        <v>387.31</v>
      </c>
      <c r="AI28" s="235"/>
      <c r="AJ28" s="176"/>
      <c r="AK28" s="176"/>
      <c r="AL28" s="227">
        <v>106</v>
      </c>
      <c r="AM28" s="260">
        <v>1012.6600000000001</v>
      </c>
      <c r="AN28" s="172">
        <f t="shared" si="12"/>
        <v>9.5533962264150958</v>
      </c>
      <c r="AO28" s="258">
        <f t="shared" si="10"/>
        <v>28213.907200000001</v>
      </c>
    </row>
    <row r="29" spans="1:41" ht="20.100000000000001" customHeight="1" x14ac:dyDescent="0.25">
      <c r="A29" s="283">
        <v>24</v>
      </c>
      <c r="B29" s="164">
        <v>199</v>
      </c>
      <c r="C29" s="165">
        <v>202</v>
      </c>
      <c r="D29" s="165">
        <v>394</v>
      </c>
      <c r="E29" s="176"/>
      <c r="F29" s="165">
        <v>421</v>
      </c>
      <c r="G29" s="176"/>
      <c r="H29" s="52">
        <f t="shared" si="1"/>
        <v>446.6</v>
      </c>
      <c r="I29" s="177">
        <v>25175.64</v>
      </c>
      <c r="J29" s="94">
        <f t="shared" si="2"/>
        <v>56.371786833855793</v>
      </c>
      <c r="K29" s="261">
        <v>2340.2799999999997</v>
      </c>
      <c r="L29" s="279">
        <f t="shared" si="3"/>
        <v>5.2402149574563364</v>
      </c>
      <c r="M29" s="280">
        <f t="shared" si="4"/>
        <v>61.612001791312132</v>
      </c>
      <c r="N29" s="175">
        <v>44</v>
      </c>
      <c r="O29" s="177">
        <v>2312.8349999999996</v>
      </c>
      <c r="P29" s="279">
        <f t="shared" si="5"/>
        <v>52.564431818181809</v>
      </c>
      <c r="Q29" s="110">
        <v>1</v>
      </c>
      <c r="R29" s="110">
        <v>2</v>
      </c>
      <c r="S29" s="110">
        <v>1</v>
      </c>
      <c r="T29" s="271">
        <f t="shared" si="6"/>
        <v>1.4000000000000001</v>
      </c>
      <c r="U29" s="273">
        <v>72.16</v>
      </c>
      <c r="V29" s="289">
        <f t="shared" si="7"/>
        <v>51.542857142857137</v>
      </c>
      <c r="W29" s="239"/>
      <c r="X29" s="239"/>
      <c r="Y29" s="270" t="e">
        <f t="shared" si="8"/>
        <v>#DIV/0!</v>
      </c>
      <c r="Z29" s="176"/>
      <c r="AA29" s="177"/>
      <c r="AB29" s="271" t="e">
        <f t="shared" si="11"/>
        <v>#DIV/0!</v>
      </c>
      <c r="AC29" s="176">
        <v>12</v>
      </c>
      <c r="AD29" s="176">
        <v>84.679999999999993</v>
      </c>
      <c r="AE29" s="282">
        <f t="shared" si="9"/>
        <v>7.0566666666666658</v>
      </c>
      <c r="AF29" s="175">
        <v>688.3</v>
      </c>
      <c r="AG29" s="52">
        <f t="shared" si="0"/>
        <v>1.4029759478189969</v>
      </c>
      <c r="AH29" s="176"/>
      <c r="AI29" s="235"/>
      <c r="AJ29" s="176">
        <v>6634.9</v>
      </c>
      <c r="AK29" s="176"/>
      <c r="AL29" s="227">
        <v>106</v>
      </c>
      <c r="AM29" s="260">
        <v>1056.1299999999999</v>
      </c>
      <c r="AN29" s="172">
        <f t="shared" si="12"/>
        <v>9.9634905660377342</v>
      </c>
      <c r="AO29" s="258">
        <f t="shared" si="10"/>
        <v>38364.925000000003</v>
      </c>
    </row>
    <row r="30" spans="1:41" ht="20.100000000000001" customHeight="1" x14ac:dyDescent="0.25">
      <c r="A30" s="283">
        <v>25</v>
      </c>
      <c r="B30" s="164">
        <v>200</v>
      </c>
      <c r="C30" s="165">
        <v>210</v>
      </c>
      <c r="D30" s="165">
        <v>347</v>
      </c>
      <c r="E30" s="176"/>
      <c r="F30" s="165">
        <v>421</v>
      </c>
      <c r="G30" s="176"/>
      <c r="H30" s="52">
        <f t="shared" ref="H30:H31" si="13">B30*0.2+SUM(C30:F30)*0.4</f>
        <v>431.20000000000005</v>
      </c>
      <c r="I30" s="177">
        <v>14563.730000000001</v>
      </c>
      <c r="J30" s="94">
        <f t="shared" ref="J30:J31" si="14">+I30/H30</f>
        <v>33.7748840445269</v>
      </c>
      <c r="K30" s="261">
        <v>512.6</v>
      </c>
      <c r="L30" s="279">
        <f t="shared" ref="L30:L31" si="15">+K30/H30</f>
        <v>1.1887755102040816</v>
      </c>
      <c r="M30" s="280">
        <f t="shared" ref="M30:M31" si="16">+(K30+I30)/H30</f>
        <v>34.963659554730981</v>
      </c>
      <c r="N30" s="175">
        <v>42</v>
      </c>
      <c r="O30" s="177">
        <v>2403.4349999999999</v>
      </c>
      <c r="P30" s="279">
        <f t="shared" ref="P30:P31" si="17">+O30/N30</f>
        <v>57.224642857142854</v>
      </c>
      <c r="Q30" s="298">
        <v>1</v>
      </c>
      <c r="R30" s="297">
        <v>2</v>
      </c>
      <c r="S30" s="297">
        <v>3</v>
      </c>
      <c r="T30" s="271">
        <f t="shared" si="6"/>
        <v>2.2000000000000002</v>
      </c>
      <c r="U30" s="273">
        <v>115.53999999999999</v>
      </c>
      <c r="V30" s="289">
        <f t="shared" si="7"/>
        <v>52.518181818181809</v>
      </c>
      <c r="W30" s="239"/>
      <c r="X30" s="239"/>
      <c r="Y30" s="270" t="e">
        <f t="shared" ref="Y30:Y31" si="18">+X30/W30</f>
        <v>#DIV/0!</v>
      </c>
      <c r="Z30" s="176"/>
      <c r="AA30" s="177"/>
      <c r="AB30" s="271" t="e">
        <f t="shared" ref="AB30:AB31" si="19">AA30/Z30</f>
        <v>#DIV/0!</v>
      </c>
      <c r="AC30" s="176">
        <v>2</v>
      </c>
      <c r="AD30" s="176">
        <v>14.6</v>
      </c>
      <c r="AE30" s="282">
        <f t="shared" ref="AE30:AE31" si="20">AD30/AC30</f>
        <v>7.3</v>
      </c>
      <c r="AF30" s="175">
        <v>506</v>
      </c>
      <c r="AG30" s="52">
        <f t="shared" si="0"/>
        <v>1.0693153000845308</v>
      </c>
      <c r="AH30" s="176">
        <v>1508.7099999999998</v>
      </c>
      <c r="AI30" s="235"/>
      <c r="AJ30" s="235">
        <v>6513.6</v>
      </c>
      <c r="AK30" s="176"/>
      <c r="AL30" s="227">
        <v>106</v>
      </c>
      <c r="AM30" s="260">
        <v>1119.2800000000002</v>
      </c>
      <c r="AN30" s="172">
        <f t="shared" ref="AN30:AN31" si="21">AM30/AL30</f>
        <v>10.559245283018869</v>
      </c>
      <c r="AO30" s="258">
        <f t="shared" si="10"/>
        <v>27257.495000000003</v>
      </c>
    </row>
    <row r="31" spans="1:41" ht="20.100000000000001" customHeight="1" x14ac:dyDescent="0.25">
      <c r="A31" s="283">
        <v>26</v>
      </c>
      <c r="B31" s="164">
        <v>199</v>
      </c>
      <c r="C31" s="165">
        <v>209</v>
      </c>
      <c r="D31" s="165">
        <v>204</v>
      </c>
      <c r="E31" s="176"/>
      <c r="F31" s="165">
        <v>406</v>
      </c>
      <c r="G31" s="176"/>
      <c r="H31" s="52">
        <f t="shared" si="13"/>
        <v>367.40000000000003</v>
      </c>
      <c r="I31" s="177">
        <v>13400.087549999998</v>
      </c>
      <c r="J31" s="94">
        <f t="shared" si="14"/>
        <v>36.472747822536739</v>
      </c>
      <c r="K31" s="261">
        <v>1851.6399999999999</v>
      </c>
      <c r="L31" s="279">
        <f t="shared" si="15"/>
        <v>5.0398475775721279</v>
      </c>
      <c r="M31" s="280">
        <f t="shared" si="16"/>
        <v>41.512595400108864</v>
      </c>
      <c r="N31" s="175">
        <v>43</v>
      </c>
      <c r="O31" s="177">
        <v>2612.2749999999996</v>
      </c>
      <c r="P31" s="279">
        <f t="shared" si="17"/>
        <v>60.750581395348831</v>
      </c>
      <c r="Q31" s="298">
        <v>1</v>
      </c>
      <c r="R31" s="297">
        <v>1</v>
      </c>
      <c r="S31" s="297">
        <v>3</v>
      </c>
      <c r="T31" s="271">
        <f t="shared" si="6"/>
        <v>1.8000000000000003</v>
      </c>
      <c r="U31" s="273">
        <v>99.049999999999983</v>
      </c>
      <c r="V31" s="289">
        <f t="shared" si="7"/>
        <v>55.027777777777757</v>
      </c>
      <c r="W31" s="239"/>
      <c r="X31" s="239"/>
      <c r="Y31" s="270" t="e">
        <f t="shared" si="18"/>
        <v>#DIV/0!</v>
      </c>
      <c r="Z31" s="176"/>
      <c r="AA31" s="177"/>
      <c r="AB31" s="271" t="e">
        <f t="shared" si="19"/>
        <v>#DIV/0!</v>
      </c>
      <c r="AC31" s="176"/>
      <c r="AD31" s="176"/>
      <c r="AE31" s="282" t="e">
        <f t="shared" si="20"/>
        <v>#DIV/0!</v>
      </c>
      <c r="AF31" s="175">
        <v>244</v>
      </c>
      <c r="AG31" s="52">
        <f t="shared" si="0"/>
        <v>0.59454191033138393</v>
      </c>
      <c r="AH31" s="176">
        <v>229.66</v>
      </c>
      <c r="AI31" s="235"/>
      <c r="AJ31" s="235">
        <v>40</v>
      </c>
      <c r="AK31" s="176"/>
      <c r="AL31" s="227">
        <v>106</v>
      </c>
      <c r="AM31" s="260">
        <v>1049.96</v>
      </c>
      <c r="AN31" s="172">
        <f t="shared" si="21"/>
        <v>9.9052830188679248</v>
      </c>
      <c r="AO31" s="258">
        <f t="shared" si="10"/>
        <v>19526.672549999999</v>
      </c>
    </row>
    <row r="32" spans="1:41" ht="20.100000000000001" customHeight="1" x14ac:dyDescent="0.25">
      <c r="A32" s="283">
        <v>27</v>
      </c>
      <c r="B32" s="164">
        <v>84</v>
      </c>
      <c r="C32" s="165">
        <v>93</v>
      </c>
      <c r="D32" s="176">
        <v>110</v>
      </c>
      <c r="E32" s="176"/>
      <c r="F32" s="165">
        <v>382</v>
      </c>
      <c r="G32" s="176"/>
      <c r="H32" s="52">
        <f t="shared" si="1"/>
        <v>250.8</v>
      </c>
      <c r="I32" s="177">
        <v>5977.5999999999985</v>
      </c>
      <c r="J32" s="94">
        <f t="shared" si="2"/>
        <v>23.834130781499194</v>
      </c>
      <c r="K32" s="261">
        <v>1888.24</v>
      </c>
      <c r="L32" s="279">
        <f t="shared" si="3"/>
        <v>7.5288676236044658</v>
      </c>
      <c r="M32" s="280">
        <f t="shared" si="4"/>
        <v>31.36299840510366</v>
      </c>
      <c r="N32" s="175">
        <v>42</v>
      </c>
      <c r="O32" s="177">
        <v>2073.5349999999999</v>
      </c>
      <c r="P32" s="279">
        <f t="shared" si="5"/>
        <v>49.369880952380946</v>
      </c>
      <c r="Q32" s="298">
        <v>1</v>
      </c>
      <c r="R32" s="297">
        <v>1</v>
      </c>
      <c r="S32" s="297">
        <v>3</v>
      </c>
      <c r="T32" s="271">
        <f t="shared" si="6"/>
        <v>1.8000000000000003</v>
      </c>
      <c r="U32" s="273">
        <v>98.100000000000009</v>
      </c>
      <c r="V32" s="289">
        <f t="shared" si="7"/>
        <v>54.5</v>
      </c>
      <c r="W32" s="239"/>
      <c r="X32" s="239"/>
      <c r="Y32" s="270" t="e">
        <f t="shared" si="8"/>
        <v>#DIV/0!</v>
      </c>
      <c r="Z32" s="176"/>
      <c r="AA32" s="177"/>
      <c r="AB32" s="271" t="e">
        <f t="shared" si="11"/>
        <v>#DIV/0!</v>
      </c>
      <c r="AC32" s="176"/>
      <c r="AD32" s="176"/>
      <c r="AE32" s="282" t="e">
        <f t="shared" si="9"/>
        <v>#DIV/0!</v>
      </c>
      <c r="AF32" s="175">
        <v>792</v>
      </c>
      <c r="AG32" s="52">
        <f t="shared" si="0"/>
        <v>2.7049180327868854</v>
      </c>
      <c r="AH32" s="176"/>
      <c r="AI32" s="235"/>
      <c r="AJ32" s="235"/>
      <c r="AK32" s="176"/>
      <c r="AL32" s="227">
        <v>106</v>
      </c>
      <c r="AM32" s="260">
        <v>1033.81</v>
      </c>
      <c r="AN32" s="172">
        <f t="shared" si="12"/>
        <v>9.7529245283018859</v>
      </c>
      <c r="AO32" s="258">
        <f t="shared" si="10"/>
        <v>11863.284999999998</v>
      </c>
    </row>
    <row r="33" spans="1:41" ht="20.100000000000001" customHeight="1" x14ac:dyDescent="0.25">
      <c r="A33" s="283">
        <v>28</v>
      </c>
      <c r="B33" s="164">
        <v>85</v>
      </c>
      <c r="C33" s="165">
        <v>95</v>
      </c>
      <c r="D33" s="176">
        <v>112</v>
      </c>
      <c r="E33" s="176"/>
      <c r="F33" s="165">
        <v>382</v>
      </c>
      <c r="G33" s="176"/>
      <c r="H33" s="52">
        <f t="shared" si="1"/>
        <v>252.60000000000002</v>
      </c>
      <c r="I33" s="177">
        <v>6202.0059999999985</v>
      </c>
      <c r="J33" s="94">
        <f t="shared" si="2"/>
        <v>24.552676167854308</v>
      </c>
      <c r="K33" s="261">
        <v>1741.9599999999998</v>
      </c>
      <c r="L33" s="279">
        <f t="shared" si="3"/>
        <v>6.8961203483768792</v>
      </c>
      <c r="M33" s="280">
        <f t="shared" si="4"/>
        <v>31.448796516231187</v>
      </c>
      <c r="N33" s="175">
        <v>43</v>
      </c>
      <c r="O33" s="177">
        <v>2212.5450000000001</v>
      </c>
      <c r="P33" s="279">
        <f t="shared" si="5"/>
        <v>51.454534883720932</v>
      </c>
      <c r="Q33" s="298">
        <v>1</v>
      </c>
      <c r="R33" s="297">
        <v>2</v>
      </c>
      <c r="S33" s="297">
        <v>1</v>
      </c>
      <c r="T33" s="271">
        <f t="shared" si="6"/>
        <v>1.4000000000000001</v>
      </c>
      <c r="U33" s="273">
        <v>79.81</v>
      </c>
      <c r="V33" s="289">
        <f t="shared" si="7"/>
        <v>57.007142857142853</v>
      </c>
      <c r="W33" s="239"/>
      <c r="X33" s="239"/>
      <c r="Y33" s="270" t="e">
        <f t="shared" si="8"/>
        <v>#DIV/0!</v>
      </c>
      <c r="Z33" s="176"/>
      <c r="AA33" s="176"/>
      <c r="AB33" s="271" t="e">
        <f t="shared" si="11"/>
        <v>#DIV/0!</v>
      </c>
      <c r="AC33" s="176"/>
      <c r="AD33" s="176"/>
      <c r="AE33" s="282" t="e">
        <f t="shared" si="9"/>
        <v>#DIV/0!</v>
      </c>
      <c r="AF33" s="175">
        <v>662</v>
      </c>
      <c r="AG33" s="52">
        <f t="shared" si="0"/>
        <v>2.2395128552097425</v>
      </c>
      <c r="AH33" s="176"/>
      <c r="AI33" s="235"/>
      <c r="AJ33" s="176"/>
      <c r="AK33" s="176"/>
      <c r="AL33" s="227"/>
      <c r="AM33" s="260">
        <v>1083.28</v>
      </c>
      <c r="AN33" s="172" t="e">
        <f t="shared" si="12"/>
        <v>#DIV/0!</v>
      </c>
      <c r="AO33" s="258">
        <f t="shared" si="10"/>
        <v>11981.600999999997</v>
      </c>
    </row>
    <row r="34" spans="1:41" ht="20.100000000000001" customHeight="1" x14ac:dyDescent="0.25">
      <c r="A34" s="283">
        <v>29</v>
      </c>
      <c r="B34" s="164"/>
      <c r="C34" s="165"/>
      <c r="D34" s="176"/>
      <c r="E34" s="176"/>
      <c r="F34" s="165"/>
      <c r="G34" s="176"/>
      <c r="H34" s="52">
        <f t="shared" si="1"/>
        <v>0</v>
      </c>
      <c r="I34" s="177"/>
      <c r="J34" s="94" t="e">
        <f t="shared" si="2"/>
        <v>#DIV/0!</v>
      </c>
      <c r="K34" s="261"/>
      <c r="L34" s="279" t="e">
        <f t="shared" si="3"/>
        <v>#DIV/0!</v>
      </c>
      <c r="M34" s="280" t="e">
        <f t="shared" si="4"/>
        <v>#DIV/0!</v>
      </c>
      <c r="N34" s="175"/>
      <c r="O34" s="177"/>
      <c r="P34" s="279" t="e">
        <f t="shared" si="5"/>
        <v>#DIV/0!</v>
      </c>
      <c r="Q34" s="296"/>
      <c r="R34" s="273"/>
      <c r="S34" s="273"/>
      <c r="T34" s="271">
        <f t="shared" si="6"/>
        <v>0</v>
      </c>
      <c r="U34" s="273"/>
      <c r="V34" s="289" t="e">
        <f t="shared" si="7"/>
        <v>#DIV/0!</v>
      </c>
      <c r="W34" s="239"/>
      <c r="X34" s="239"/>
      <c r="Y34" s="270" t="e">
        <f t="shared" si="8"/>
        <v>#DIV/0!</v>
      </c>
      <c r="Z34" s="176"/>
      <c r="AA34" s="177"/>
      <c r="AB34" s="271" t="e">
        <f t="shared" si="11"/>
        <v>#DIV/0!</v>
      </c>
      <c r="AC34" s="176"/>
      <c r="AD34" s="176"/>
      <c r="AE34" s="282" t="e">
        <f t="shared" si="9"/>
        <v>#DIV/0!</v>
      </c>
      <c r="AF34" s="175"/>
      <c r="AG34" s="52" t="e">
        <f t="shared" si="0"/>
        <v>#DIV/0!</v>
      </c>
      <c r="AH34" s="176"/>
      <c r="AI34" s="235"/>
      <c r="AJ34" s="176"/>
      <c r="AK34" s="176"/>
      <c r="AL34" s="227"/>
      <c r="AM34" s="260"/>
      <c r="AN34" s="172" t="e">
        <f t="shared" si="12"/>
        <v>#DIV/0!</v>
      </c>
      <c r="AO34" s="258">
        <f t="shared" si="10"/>
        <v>0</v>
      </c>
    </row>
    <row r="35" spans="1:41" ht="20.100000000000001" customHeight="1" x14ac:dyDescent="0.25">
      <c r="A35" s="283">
        <v>30</v>
      </c>
      <c r="B35" s="164"/>
      <c r="C35" s="165"/>
      <c r="D35" s="176"/>
      <c r="E35" s="176"/>
      <c r="F35" s="165"/>
      <c r="G35" s="185"/>
      <c r="H35" s="52">
        <f t="shared" ref="H35" si="22">B35*0.2+SUM(C35:F35)*0.4</f>
        <v>0</v>
      </c>
      <c r="I35" s="177"/>
      <c r="J35" s="94" t="e">
        <f t="shared" ref="J35" si="23">+I35/H35</f>
        <v>#DIV/0!</v>
      </c>
      <c r="K35" s="261"/>
      <c r="L35" s="279" t="e">
        <f t="shared" ref="L35" si="24">+K35/H35</f>
        <v>#DIV/0!</v>
      </c>
      <c r="M35" s="280" t="e">
        <f t="shared" ref="M35" si="25">+(K35+I35)/H35</f>
        <v>#DIV/0!</v>
      </c>
      <c r="N35" s="175"/>
      <c r="O35" s="177"/>
      <c r="P35" s="279" t="e">
        <f t="shared" ref="P35" si="26">+O35/N35</f>
        <v>#DIV/0!</v>
      </c>
      <c r="Q35" s="296"/>
      <c r="R35" s="273"/>
      <c r="S35" s="273"/>
      <c r="T35" s="271">
        <f t="shared" si="6"/>
        <v>0</v>
      </c>
      <c r="U35" s="273"/>
      <c r="V35" s="289" t="e">
        <f t="shared" si="7"/>
        <v>#DIV/0!</v>
      </c>
      <c r="W35" s="239"/>
      <c r="X35" s="239"/>
      <c r="Y35" s="270" t="e">
        <f t="shared" ref="Y35" si="27">+X35/W35</f>
        <v>#DIV/0!</v>
      </c>
      <c r="Z35" s="176"/>
      <c r="AA35" s="177"/>
      <c r="AB35" s="271" t="e">
        <f t="shared" ref="AB35" si="28">AA35/Z35</f>
        <v>#DIV/0!</v>
      </c>
      <c r="AC35" s="176"/>
      <c r="AD35" s="176"/>
      <c r="AE35" s="282" t="e">
        <f t="shared" ref="AE35" si="29">AD35/AC35</f>
        <v>#DIV/0!</v>
      </c>
      <c r="AF35" s="175"/>
      <c r="AG35" s="52" t="e">
        <f t="shared" si="0"/>
        <v>#DIV/0!</v>
      </c>
      <c r="AH35" s="185"/>
      <c r="AI35" s="251"/>
      <c r="AJ35" s="176"/>
      <c r="AK35" s="176"/>
      <c r="AL35" s="227"/>
      <c r="AM35" s="260"/>
      <c r="AN35" s="172" t="e">
        <f t="shared" ref="AN35" si="30">AM35/AL35</f>
        <v>#DIV/0!</v>
      </c>
      <c r="AO35" s="258">
        <f t="shared" si="10"/>
        <v>0</v>
      </c>
    </row>
    <row r="36" spans="1:41" ht="20.100000000000001" customHeight="1" thickBot="1" x14ac:dyDescent="0.3">
      <c r="A36" s="283">
        <v>31</v>
      </c>
      <c r="B36" s="175"/>
      <c r="C36" s="176"/>
      <c r="D36" s="176"/>
      <c r="E36" s="176"/>
      <c r="F36" s="165"/>
      <c r="G36" s="185"/>
      <c r="H36" s="52">
        <f t="shared" si="1"/>
        <v>0</v>
      </c>
      <c r="I36" s="187"/>
      <c r="J36" s="94" t="e">
        <f t="shared" si="2"/>
        <v>#DIV/0!</v>
      </c>
      <c r="K36" s="262"/>
      <c r="L36" s="279" t="e">
        <f t="shared" si="3"/>
        <v>#DIV/0!</v>
      </c>
      <c r="M36" s="280" t="e">
        <f t="shared" ref="M36" si="31">+(I36+K36)/H36</f>
        <v>#DIV/0!</v>
      </c>
      <c r="N36" s="175"/>
      <c r="O36" s="177"/>
      <c r="P36" s="279" t="e">
        <f t="shared" si="5"/>
        <v>#DIV/0!</v>
      </c>
      <c r="Q36" s="296"/>
      <c r="R36" s="273"/>
      <c r="S36" s="273"/>
      <c r="T36" s="271">
        <f t="shared" si="6"/>
        <v>0</v>
      </c>
      <c r="U36" s="273"/>
      <c r="V36" s="289" t="e">
        <f t="shared" si="7"/>
        <v>#DIV/0!</v>
      </c>
      <c r="W36" s="248"/>
      <c r="X36" s="248"/>
      <c r="Y36" s="270" t="e">
        <f t="shared" si="8"/>
        <v>#DIV/0!</v>
      </c>
      <c r="Z36" s="185"/>
      <c r="AA36" s="187"/>
      <c r="AB36" s="271" t="e">
        <f t="shared" si="11"/>
        <v>#DIV/0!</v>
      </c>
      <c r="AC36" s="176"/>
      <c r="AD36" s="176"/>
      <c r="AE36" s="282" t="e">
        <f t="shared" si="9"/>
        <v>#DIV/0!</v>
      </c>
      <c r="AF36" s="184"/>
      <c r="AG36" s="52" t="e">
        <f t="shared" si="0"/>
        <v>#DIV/0!</v>
      </c>
      <c r="AH36" s="185"/>
      <c r="AI36" s="251"/>
      <c r="AJ36" s="176"/>
      <c r="AK36" s="176"/>
      <c r="AL36" s="227"/>
      <c r="AM36" s="260"/>
      <c r="AN36" s="172" t="e">
        <f t="shared" si="12"/>
        <v>#DIV/0!</v>
      </c>
      <c r="AO36" s="258">
        <f t="shared" si="10"/>
        <v>0</v>
      </c>
    </row>
    <row r="37" spans="1:41" ht="26.25" thickBot="1" x14ac:dyDescent="0.3">
      <c r="A37" s="202" t="s">
        <v>77</v>
      </c>
      <c r="B37" s="195">
        <f t="shared" ref="B37:K37" si="32">SUM(B6:B36)</f>
        <v>4640</v>
      </c>
      <c r="C37" s="195">
        <f t="shared" si="32"/>
        <v>4899</v>
      </c>
      <c r="D37" s="195">
        <f t="shared" si="32"/>
        <v>5474</v>
      </c>
      <c r="E37" s="195">
        <f t="shared" si="32"/>
        <v>0</v>
      </c>
      <c r="F37" s="195">
        <f t="shared" si="32"/>
        <v>11544</v>
      </c>
      <c r="G37" s="195">
        <f t="shared" si="32"/>
        <v>0</v>
      </c>
      <c r="H37" s="275">
        <f t="shared" si="32"/>
        <v>9694.8000000000011</v>
      </c>
      <c r="I37" s="195">
        <f t="shared" si="32"/>
        <v>609995.11990000017</v>
      </c>
      <c r="J37" s="275">
        <f>+I37/H37</f>
        <v>62.91982505054257</v>
      </c>
      <c r="K37" s="195">
        <f t="shared" si="32"/>
        <v>57198.93</v>
      </c>
      <c r="L37" s="275">
        <f>+K37/H37</f>
        <v>5.8999597722490398</v>
      </c>
      <c r="M37" s="275">
        <f>+(I37+K37)/H37</f>
        <v>68.819784822791618</v>
      </c>
      <c r="N37" s="195">
        <f>SUM(N6:N36)</f>
        <v>1182</v>
      </c>
      <c r="O37" s="195">
        <f>SUM(O6:O36)</f>
        <v>68170.406050000005</v>
      </c>
      <c r="P37" s="285">
        <f>+O37/N37</f>
        <v>57.67377838409476</v>
      </c>
      <c r="Q37" s="195">
        <f t="shared" ref="Q37:U37" si="33">SUM(Q6:Q36)</f>
        <v>17</v>
      </c>
      <c r="R37" s="195">
        <f t="shared" si="33"/>
        <v>21</v>
      </c>
      <c r="S37" s="195">
        <f t="shared" si="33"/>
        <v>25</v>
      </c>
      <c r="T37" s="295">
        <f t="shared" si="6"/>
        <v>21.8</v>
      </c>
      <c r="U37" s="195">
        <f t="shared" si="33"/>
        <v>1220.2099999999998</v>
      </c>
      <c r="V37" s="290">
        <f>+U37/T37</f>
        <v>55.972935779816503</v>
      </c>
      <c r="W37" s="287">
        <f>SUM(W6:W36)</f>
        <v>70</v>
      </c>
      <c r="X37" s="195">
        <f>SUM(X6:X36)</f>
        <v>20768.705900000001</v>
      </c>
      <c r="Y37" s="252">
        <f>+X37/W37</f>
        <v>296.69579857142861</v>
      </c>
      <c r="Z37" s="195">
        <f>SUM(Z6:Z36)</f>
        <v>541</v>
      </c>
      <c r="AA37" s="195">
        <f>SUM(AA6:AA36)</f>
        <v>7836.07</v>
      </c>
      <c r="AB37" s="275">
        <f>+AA37/Z37</f>
        <v>14.48441774491682</v>
      </c>
      <c r="AC37" s="195">
        <f>SUM(AC6:AC36)</f>
        <v>2400</v>
      </c>
      <c r="AD37" s="195">
        <f>SUM(AD6:AD36)</f>
        <v>15789.730000000001</v>
      </c>
      <c r="AE37" s="275" t="e">
        <f>SUM(AE6:AE36)</f>
        <v>#DIV/0!</v>
      </c>
      <c r="AF37" s="195">
        <f>SUM(AF6:AF36)</f>
        <v>12889.389999999998</v>
      </c>
      <c r="AG37" s="275">
        <f>+AF37/(N37+H37)</f>
        <v>1.1850351206237124</v>
      </c>
      <c r="AH37" s="195">
        <f t="shared" ref="AH37:AM37" si="34">SUM(AH6:AH36)</f>
        <v>5269.73</v>
      </c>
      <c r="AI37" s="195">
        <f t="shared" si="34"/>
        <v>0</v>
      </c>
      <c r="AJ37" s="195">
        <f t="shared" si="34"/>
        <v>63459.254000000001</v>
      </c>
      <c r="AK37" s="195">
        <f t="shared" si="34"/>
        <v>8675.1</v>
      </c>
      <c r="AL37" s="195">
        <f t="shared" si="34"/>
        <v>2862</v>
      </c>
      <c r="AM37" s="253">
        <f t="shared" si="34"/>
        <v>29803.80575</v>
      </c>
      <c r="AN37" s="195">
        <f>AM37/AL37</f>
        <v>10.413628843466107</v>
      </c>
      <c r="AO37" s="203">
        <f>SUM(AO6:AO36)</f>
        <v>901076.45160000026</v>
      </c>
    </row>
    <row r="39" spans="1:41" ht="19.5" customHeight="1" x14ac:dyDescent="0.25">
      <c r="G39" s="305" t="s">
        <v>109</v>
      </c>
      <c r="H39" s="306"/>
      <c r="I39" s="306"/>
      <c r="J39" s="307"/>
      <c r="K39" s="266">
        <f>+L37</f>
        <v>5.8999597722490398</v>
      </c>
      <c r="L39" s="268"/>
    </row>
    <row r="40" spans="1:41" ht="21.75" customHeight="1" x14ac:dyDescent="0.25">
      <c r="G40" s="305" t="s">
        <v>110</v>
      </c>
      <c r="H40" s="306"/>
      <c r="I40" s="306"/>
      <c r="J40" s="307"/>
      <c r="K40" s="267">
        <v>6</v>
      </c>
      <c r="L40" s="269"/>
    </row>
  </sheetData>
  <mergeCells count="11">
    <mergeCell ref="G40:J40"/>
    <mergeCell ref="G39:J39"/>
    <mergeCell ref="A1:AO1"/>
    <mergeCell ref="A2:AO2"/>
    <mergeCell ref="A3:AO3"/>
    <mergeCell ref="B4:M4"/>
    <mergeCell ref="N4:P4"/>
    <mergeCell ref="W4:AE4"/>
    <mergeCell ref="AL4:AN4"/>
    <mergeCell ref="AI4:AJ4"/>
    <mergeCell ref="Q4:V4"/>
  </mergeCells>
  <conditionalFormatting sqref="Q20:S24">
    <cfRule type="cellIs" dxfId="11" priority="3" operator="equal">
      <formula>"MUKKADAS"</formula>
    </cfRule>
    <cfRule type="containsText" dxfId="10" priority="4" operator="containsText" text="UMAR">
      <formula>NOT(ISERROR(SEARCH("UMAR",Q20)))</formula>
    </cfRule>
  </conditionalFormatting>
  <conditionalFormatting sqref="Q27:S29">
    <cfRule type="cellIs" dxfId="9" priority="1" operator="equal">
      <formula>"MUKKADAS"</formula>
    </cfRule>
    <cfRule type="containsText" dxfId="8" priority="2" operator="containsText" text="UMAR">
      <formula>NOT(ISERROR(SEARCH("UMAR",Q27)))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172F-B7D8-4346-B3C8-5397477BC886}">
  <dimension ref="A1:AO40"/>
  <sheetViews>
    <sheetView topLeftCell="J1" zoomScale="80" zoomScaleNormal="80" workbookViewId="0">
      <selection activeCell="AO37" sqref="AO37"/>
    </sheetView>
  </sheetViews>
  <sheetFormatPr defaultRowHeight="15" x14ac:dyDescent="0.25"/>
  <cols>
    <col min="1" max="1" width="10.5703125" style="2" bestFit="1" customWidth="1"/>
    <col min="2" max="4" width="10.140625" bestFit="1" customWidth="1"/>
    <col min="6" max="6" width="11.28515625" bestFit="1" customWidth="1"/>
    <col min="8" max="8" width="11.28515625" bestFit="1" customWidth="1"/>
    <col min="9" max="9" width="12.28515625" bestFit="1" customWidth="1"/>
    <col min="10" max="10" width="11.28515625" customWidth="1"/>
    <col min="11" max="11" width="10.85546875" bestFit="1" customWidth="1"/>
    <col min="12" max="12" width="9.85546875" customWidth="1"/>
    <col min="14" max="14" width="10.140625" bestFit="1" customWidth="1"/>
    <col min="15" max="15" width="11.28515625" bestFit="1" customWidth="1"/>
    <col min="16" max="16" width="10.140625" bestFit="1" customWidth="1"/>
    <col min="17" max="22" width="10.140625" customWidth="1"/>
    <col min="23" max="23" width="10.140625" bestFit="1" customWidth="1"/>
    <col min="24" max="24" width="12" bestFit="1" customWidth="1"/>
    <col min="27" max="27" width="12" customWidth="1"/>
    <col min="29" max="29" width="10.140625" bestFit="1" customWidth="1"/>
    <col min="30" max="30" width="11.28515625" bestFit="1" customWidth="1"/>
    <col min="32" max="32" width="11.28515625" bestFit="1" customWidth="1"/>
    <col min="34" max="34" width="10.140625" bestFit="1" customWidth="1"/>
    <col min="36" max="36" width="11.28515625" bestFit="1" customWidth="1"/>
    <col min="37" max="37" width="10.140625" bestFit="1" customWidth="1"/>
    <col min="38" max="38" width="14.85546875" bestFit="1" customWidth="1"/>
    <col min="39" max="39" width="11.28515625" bestFit="1" customWidth="1"/>
    <col min="41" max="41" width="12.140625" bestFit="1" customWidth="1"/>
  </cols>
  <sheetData>
    <row r="1" spans="1:41" ht="21.75" thickBot="1" x14ac:dyDescent="0.4">
      <c r="A1" s="308" t="s">
        <v>119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10"/>
    </row>
    <row r="2" spans="1:41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</row>
    <row r="3" spans="1:41" ht="21.75" thickBot="1" x14ac:dyDescent="0.4">
      <c r="A3" s="308" t="s">
        <v>118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</row>
    <row r="4" spans="1:41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3"/>
      <c r="N4" s="314" t="s">
        <v>62</v>
      </c>
      <c r="O4" s="315"/>
      <c r="P4" s="315"/>
      <c r="Q4" s="316" t="s">
        <v>117</v>
      </c>
      <c r="R4" s="315"/>
      <c r="S4" s="315"/>
      <c r="T4" s="315"/>
      <c r="U4" s="315"/>
      <c r="V4" s="317"/>
      <c r="W4" s="315" t="s">
        <v>65</v>
      </c>
      <c r="X4" s="315"/>
      <c r="Y4" s="315"/>
      <c r="Z4" s="315"/>
      <c r="AA4" s="315"/>
      <c r="AB4" s="315"/>
      <c r="AC4" s="315"/>
      <c r="AD4" s="315"/>
      <c r="AE4" s="318"/>
      <c r="AF4" s="263"/>
      <c r="AG4" s="264"/>
      <c r="AH4" s="264"/>
      <c r="AI4" s="319" t="s">
        <v>106</v>
      </c>
      <c r="AJ4" s="319"/>
      <c r="AK4" s="209"/>
      <c r="AL4" s="320" t="s">
        <v>67</v>
      </c>
      <c r="AM4" s="321"/>
      <c r="AN4" s="322"/>
      <c r="AO4" s="144" t="s">
        <v>68</v>
      </c>
    </row>
    <row r="5" spans="1:41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276" t="s">
        <v>69</v>
      </c>
      <c r="I5" s="277" t="s">
        <v>0</v>
      </c>
      <c r="J5" s="278" t="s">
        <v>111</v>
      </c>
      <c r="K5" s="211" t="s">
        <v>105</v>
      </c>
      <c r="L5" s="211" t="s">
        <v>112</v>
      </c>
      <c r="M5" s="150" t="s">
        <v>113</v>
      </c>
      <c r="N5" s="148" t="s">
        <v>69</v>
      </c>
      <c r="O5" s="148" t="s">
        <v>89</v>
      </c>
      <c r="P5" s="211" t="s">
        <v>91</v>
      </c>
      <c r="Q5" s="292" t="s">
        <v>2</v>
      </c>
      <c r="R5" s="293" t="s">
        <v>3</v>
      </c>
      <c r="S5" s="293" t="s">
        <v>4</v>
      </c>
      <c r="T5" s="291" t="s">
        <v>114</v>
      </c>
      <c r="U5" s="288" t="s">
        <v>115</v>
      </c>
      <c r="V5" s="294" t="s">
        <v>116</v>
      </c>
      <c r="W5" s="286" t="s">
        <v>92</v>
      </c>
      <c r="X5" s="212" t="s">
        <v>93</v>
      </c>
      <c r="Y5" s="213" t="s">
        <v>94</v>
      </c>
      <c r="Z5" s="152" t="s">
        <v>72</v>
      </c>
      <c r="AA5" s="152" t="s">
        <v>73</v>
      </c>
      <c r="AB5" s="152" t="s">
        <v>79</v>
      </c>
      <c r="AC5" s="153" t="s">
        <v>21</v>
      </c>
      <c r="AD5" s="153" t="s">
        <v>74</v>
      </c>
      <c r="AE5" s="154" t="s">
        <v>16</v>
      </c>
      <c r="AF5" s="214" t="s">
        <v>95</v>
      </c>
      <c r="AG5" s="157" t="s">
        <v>96</v>
      </c>
      <c r="AH5" s="157" t="s">
        <v>99</v>
      </c>
      <c r="AI5" s="265" t="s">
        <v>107</v>
      </c>
      <c r="AJ5" s="216" t="s">
        <v>108</v>
      </c>
      <c r="AK5" s="217" t="s">
        <v>102</v>
      </c>
      <c r="AL5" s="218" t="s">
        <v>75</v>
      </c>
      <c r="AM5" s="219" t="s">
        <v>30</v>
      </c>
      <c r="AN5" s="162" t="s">
        <v>76</v>
      </c>
      <c r="AO5" s="144" t="s">
        <v>68</v>
      </c>
    </row>
    <row r="6" spans="1:41" ht="20.100000000000001" customHeight="1" x14ac:dyDescent="0.25">
      <c r="A6" s="283">
        <v>1</v>
      </c>
      <c r="B6" s="175">
        <v>200</v>
      </c>
      <c r="C6" s="176">
        <v>205</v>
      </c>
      <c r="D6" s="176">
        <v>384</v>
      </c>
      <c r="E6" s="165"/>
      <c r="F6" s="165">
        <v>431</v>
      </c>
      <c r="G6" s="165"/>
      <c r="H6" s="52">
        <f>B6*0.2+SUM(C6:F6)*0.4</f>
        <v>448</v>
      </c>
      <c r="I6" s="272">
        <v>24210.992360000004</v>
      </c>
      <c r="J6" s="94">
        <f>+I6/H6</f>
        <v>54.042393660714296</v>
      </c>
      <c r="K6" s="241">
        <v>1434.06</v>
      </c>
      <c r="L6" s="279">
        <f>+K6/H6</f>
        <v>3.2010267857142858</v>
      </c>
      <c r="M6" s="280">
        <f>+(K6+I6)/H6</f>
        <v>57.24342044642858</v>
      </c>
      <c r="N6" s="198">
        <v>43</v>
      </c>
      <c r="O6" s="273">
        <v>2377.625</v>
      </c>
      <c r="P6" s="279">
        <f>+O6/N6</f>
        <v>55.293604651162788</v>
      </c>
      <c r="Q6" s="298">
        <v>1</v>
      </c>
      <c r="R6" s="297">
        <v>1</v>
      </c>
      <c r="S6" s="297">
        <v>2</v>
      </c>
      <c r="T6" s="271">
        <f>+Q6*20%+S6*40%+R6*40%</f>
        <v>1.4</v>
      </c>
      <c r="U6" s="273">
        <v>69.050000000000011</v>
      </c>
      <c r="V6" s="289">
        <f>+U6/T6</f>
        <v>49.321428571428584</v>
      </c>
      <c r="W6" s="227"/>
      <c r="X6" s="227"/>
      <c r="Y6" s="270" t="e">
        <f>+X6/W6</f>
        <v>#DIV/0!</v>
      </c>
      <c r="Z6" s="51">
        <v>32</v>
      </c>
      <c r="AA6" s="51">
        <v>449.12</v>
      </c>
      <c r="AB6" s="271">
        <f>AA6/Z6</f>
        <v>14.035</v>
      </c>
      <c r="AC6" s="51">
        <v>150</v>
      </c>
      <c r="AD6" s="51">
        <v>962.75</v>
      </c>
      <c r="AE6" s="281">
        <f>AD6/AC6</f>
        <v>6.418333333333333</v>
      </c>
      <c r="AF6" s="198"/>
      <c r="AG6" s="52">
        <f t="shared" ref="AG6:AG36" si="0">+AF6/(H6+N6)</f>
        <v>0</v>
      </c>
      <c r="AH6" s="299">
        <v>1735.55</v>
      </c>
      <c r="AI6" s="274"/>
      <c r="AJ6" s="51"/>
      <c r="AK6" s="43"/>
      <c r="AL6" s="227">
        <v>106</v>
      </c>
      <c r="AM6" s="260">
        <v>1112.6500000000001</v>
      </c>
      <c r="AN6" s="257">
        <f>AM6/AL6</f>
        <v>10.496698113207549</v>
      </c>
      <c r="AO6" s="258">
        <f>+AM6+AK6+AJ6+AI6+AH6+AF6+AD6+AA6+X6+O6+K6+I6+U6</f>
        <v>32351.79736</v>
      </c>
    </row>
    <row r="7" spans="1:41" ht="20.100000000000001" customHeight="1" x14ac:dyDescent="0.25">
      <c r="A7" s="283">
        <v>2</v>
      </c>
      <c r="B7" s="175">
        <v>198</v>
      </c>
      <c r="C7" s="176">
        <v>201</v>
      </c>
      <c r="D7" s="176">
        <v>363</v>
      </c>
      <c r="E7" s="165"/>
      <c r="F7" s="165">
        <v>433</v>
      </c>
      <c r="G7" s="176"/>
      <c r="H7" s="52">
        <f t="shared" ref="H7:H36" si="1">B7*0.2+SUM(C7:F7)*0.4</f>
        <v>438.40000000000003</v>
      </c>
      <c r="I7" s="177">
        <v>23275.59</v>
      </c>
      <c r="J7" s="94">
        <f t="shared" ref="J7:J36" si="2">+I7/H7</f>
        <v>53.092130474452553</v>
      </c>
      <c r="K7" s="229">
        <v>2244.8500000000004</v>
      </c>
      <c r="L7" s="279">
        <f t="shared" ref="L7:L36" si="3">+K7/H7</f>
        <v>5.1205520072992705</v>
      </c>
      <c r="M7" s="280">
        <f t="shared" ref="M7:M35" si="4">+(K7+I7)/H7</f>
        <v>58.212682481751827</v>
      </c>
      <c r="N7" s="198">
        <v>42</v>
      </c>
      <c r="O7" s="177">
        <v>2378.2550000000001</v>
      </c>
      <c r="P7" s="279">
        <f t="shared" ref="P7:P36" si="5">+O7/N7</f>
        <v>56.625119047619052</v>
      </c>
      <c r="Q7" s="298">
        <v>2</v>
      </c>
      <c r="R7" s="297">
        <v>2</v>
      </c>
      <c r="S7" s="297">
        <v>3</v>
      </c>
      <c r="T7" s="271">
        <f t="shared" ref="T7:T37" si="6">+Q7*20%+S7*40%+R7*40%</f>
        <v>2.4000000000000004</v>
      </c>
      <c r="U7" s="273">
        <v>131.6</v>
      </c>
      <c r="V7" s="289">
        <f t="shared" ref="V7:V36" si="7">+U7/T7</f>
        <v>54.833333333333321</v>
      </c>
      <c r="W7" s="239"/>
      <c r="X7" s="222"/>
      <c r="Y7" s="270" t="e">
        <f t="shared" ref="Y7:Y36" si="8">+X7/W7</f>
        <v>#DIV/0!</v>
      </c>
      <c r="Z7" s="165">
        <v>32</v>
      </c>
      <c r="AA7" s="200">
        <v>449.12</v>
      </c>
      <c r="AB7" s="271">
        <f>AA7/Z7</f>
        <v>14.035</v>
      </c>
      <c r="AC7" s="165">
        <v>8</v>
      </c>
      <c r="AD7" s="165">
        <v>53.46</v>
      </c>
      <c r="AE7" s="282">
        <f t="shared" ref="AE7:AE36" si="9">AD7/AC7</f>
        <v>6.6825000000000001</v>
      </c>
      <c r="AF7" s="175">
        <v>479.8</v>
      </c>
      <c r="AG7" s="52">
        <f t="shared" si="0"/>
        <v>0.99875104079933386</v>
      </c>
      <c r="AH7" s="176">
        <v>258.97000000000003</v>
      </c>
      <c r="AI7" s="235"/>
      <c r="AJ7" s="176"/>
      <c r="AK7" s="176"/>
      <c r="AL7" s="227">
        <v>106</v>
      </c>
      <c r="AM7" s="260">
        <v>1128.0700000000002</v>
      </c>
      <c r="AN7" s="172">
        <f>AM7/AL7</f>
        <v>10.642169811320755</v>
      </c>
      <c r="AO7" s="258">
        <f t="shared" ref="AO7:AO36" si="10">+AM7+AK7+AJ7+AI7+AH7+AF7+AD7+AA7+X7+O7+K7+I7+U7</f>
        <v>30399.715</v>
      </c>
    </row>
    <row r="8" spans="1:41" ht="20.100000000000001" customHeight="1" x14ac:dyDescent="0.25">
      <c r="A8" s="283">
        <v>3</v>
      </c>
      <c r="B8" s="175">
        <v>196</v>
      </c>
      <c r="C8" s="176">
        <v>203</v>
      </c>
      <c r="D8" s="176">
        <v>395</v>
      </c>
      <c r="E8" s="165"/>
      <c r="F8" s="165">
        <v>433</v>
      </c>
      <c r="G8" s="176"/>
      <c r="H8" s="52">
        <f t="shared" si="1"/>
        <v>451.6</v>
      </c>
      <c r="I8" s="177">
        <v>24696.749600000006</v>
      </c>
      <c r="J8" s="94">
        <f t="shared" si="2"/>
        <v>54.687222320637744</v>
      </c>
      <c r="K8" s="241">
        <v>1384.21</v>
      </c>
      <c r="L8" s="279">
        <f t="shared" si="3"/>
        <v>3.0651240035429583</v>
      </c>
      <c r="M8" s="280">
        <f t="shared" si="4"/>
        <v>57.752346324180699</v>
      </c>
      <c r="N8" s="198">
        <v>43</v>
      </c>
      <c r="O8" s="177">
        <v>2362.3549999999996</v>
      </c>
      <c r="P8" s="279">
        <f t="shared" si="5"/>
        <v>54.938488372093012</v>
      </c>
      <c r="Q8" s="298">
        <v>2</v>
      </c>
      <c r="R8" s="297">
        <v>2</v>
      </c>
      <c r="S8" s="297">
        <v>3</v>
      </c>
      <c r="T8" s="271">
        <f t="shared" si="6"/>
        <v>2.4000000000000004</v>
      </c>
      <c r="U8" s="273">
        <v>124.60000000000001</v>
      </c>
      <c r="V8" s="289">
        <f t="shared" si="7"/>
        <v>51.916666666666664</v>
      </c>
      <c r="W8" s="239"/>
      <c r="X8" s="222"/>
      <c r="Y8" s="270" t="e">
        <f t="shared" si="8"/>
        <v>#DIV/0!</v>
      </c>
      <c r="Z8" s="165">
        <v>32</v>
      </c>
      <c r="AA8" s="177">
        <v>449.12</v>
      </c>
      <c r="AB8" s="271">
        <f>AA8/Z8</f>
        <v>14.035</v>
      </c>
      <c r="AC8" s="176">
        <v>18</v>
      </c>
      <c r="AD8" s="176">
        <v>129.60000000000002</v>
      </c>
      <c r="AE8" s="282">
        <f t="shared" si="9"/>
        <v>7.2000000000000011</v>
      </c>
      <c r="AF8" s="175">
        <v>420</v>
      </c>
      <c r="AG8" s="52">
        <f t="shared" si="0"/>
        <v>0.84917104731095827</v>
      </c>
      <c r="AH8" s="176"/>
      <c r="AI8" s="235"/>
      <c r="AJ8" s="176"/>
      <c r="AK8" s="176"/>
      <c r="AL8" s="227">
        <v>106</v>
      </c>
      <c r="AM8" s="260">
        <v>1051.6999999999998</v>
      </c>
      <c r="AN8" s="172">
        <f>AM8/AL8</f>
        <v>9.9216981132075457</v>
      </c>
      <c r="AO8" s="258">
        <f t="shared" si="10"/>
        <v>30618.334600000006</v>
      </c>
    </row>
    <row r="9" spans="1:41" ht="20.100000000000001" customHeight="1" x14ac:dyDescent="0.25">
      <c r="A9" s="283">
        <v>4</v>
      </c>
      <c r="B9" s="175">
        <v>194</v>
      </c>
      <c r="C9" s="176">
        <v>204</v>
      </c>
      <c r="D9" s="176">
        <v>352</v>
      </c>
      <c r="E9" s="165"/>
      <c r="F9" s="165">
        <v>428</v>
      </c>
      <c r="G9" s="176"/>
      <c r="H9" s="52">
        <f t="shared" si="1"/>
        <v>432.40000000000003</v>
      </c>
      <c r="I9" s="177">
        <v>24809.129999999997</v>
      </c>
      <c r="J9" s="94">
        <f t="shared" si="2"/>
        <v>57.375416281221078</v>
      </c>
      <c r="K9" s="229">
        <v>1583.4399999999998</v>
      </c>
      <c r="L9" s="279">
        <f t="shared" si="3"/>
        <v>3.6619796484736349</v>
      </c>
      <c r="M9" s="280">
        <f t="shared" si="4"/>
        <v>61.037395929694711</v>
      </c>
      <c r="N9" s="259">
        <v>41</v>
      </c>
      <c r="O9" s="177">
        <v>2399.94</v>
      </c>
      <c r="P9" s="279">
        <f t="shared" si="5"/>
        <v>58.535121951219516</v>
      </c>
      <c r="Q9" s="298">
        <v>1</v>
      </c>
      <c r="R9" s="297">
        <v>2</v>
      </c>
      <c r="S9" s="297">
        <v>3</v>
      </c>
      <c r="T9" s="271">
        <f t="shared" si="6"/>
        <v>2.2000000000000002</v>
      </c>
      <c r="U9" s="273">
        <v>125.61</v>
      </c>
      <c r="V9" s="289">
        <f t="shared" si="7"/>
        <v>57.095454545454544</v>
      </c>
      <c r="W9" s="239"/>
      <c r="X9" s="300">
        <v>11326.5676</v>
      </c>
      <c r="Y9" s="270" t="e">
        <f t="shared" si="8"/>
        <v>#DIV/0!</v>
      </c>
      <c r="Z9" s="165">
        <v>17</v>
      </c>
      <c r="AA9" s="177">
        <v>224.56</v>
      </c>
      <c r="AB9" s="271">
        <f t="shared" ref="AB9:AB36" si="11">AA9/Z9</f>
        <v>13.209411764705882</v>
      </c>
      <c r="AC9" s="176">
        <v>6</v>
      </c>
      <c r="AD9" s="176">
        <v>33.69</v>
      </c>
      <c r="AE9" s="282">
        <f t="shared" si="9"/>
        <v>5.6149999999999993</v>
      </c>
      <c r="AF9" s="175">
        <v>445.52</v>
      </c>
      <c r="AG9" s="52">
        <f t="shared" si="0"/>
        <v>0.9411068863540345</v>
      </c>
      <c r="AH9" s="176">
        <v>427.83</v>
      </c>
      <c r="AI9" s="235"/>
      <c r="AJ9" s="176">
        <v>1841.04</v>
      </c>
      <c r="AK9" s="176"/>
      <c r="AL9" s="227">
        <v>106</v>
      </c>
      <c r="AM9" s="260">
        <v>1147.3899999999999</v>
      </c>
      <c r="AN9" s="172">
        <f>AM9/AL9</f>
        <v>10.82443396226415</v>
      </c>
      <c r="AO9" s="258">
        <f t="shared" si="10"/>
        <v>44364.717599999996</v>
      </c>
    </row>
    <row r="10" spans="1:41" ht="20.100000000000001" customHeight="1" x14ac:dyDescent="0.25">
      <c r="A10" s="283">
        <v>5</v>
      </c>
      <c r="B10" s="175">
        <v>199</v>
      </c>
      <c r="C10" s="176">
        <v>202</v>
      </c>
      <c r="D10" s="165">
        <v>210</v>
      </c>
      <c r="E10" s="176"/>
      <c r="F10" s="165">
        <v>412</v>
      </c>
      <c r="G10" s="176"/>
      <c r="H10" s="52">
        <f t="shared" si="1"/>
        <v>369.40000000000003</v>
      </c>
      <c r="I10" s="177">
        <v>23321.27</v>
      </c>
      <c r="J10" s="94">
        <f t="shared" si="2"/>
        <v>63.132837033026526</v>
      </c>
      <c r="K10" s="241">
        <v>2132.42</v>
      </c>
      <c r="L10" s="279">
        <f t="shared" si="3"/>
        <v>5.7726583649160794</v>
      </c>
      <c r="M10" s="280">
        <f t="shared" si="4"/>
        <v>68.905495397942616</v>
      </c>
      <c r="N10" s="259">
        <v>41</v>
      </c>
      <c r="O10" s="177">
        <v>1939.0149999999996</v>
      </c>
      <c r="P10" s="279">
        <f t="shared" si="5"/>
        <v>47.293048780487794</v>
      </c>
      <c r="Q10" s="298">
        <v>1</v>
      </c>
      <c r="R10" s="297">
        <v>2</v>
      </c>
      <c r="S10" s="297">
        <v>3</v>
      </c>
      <c r="T10" s="271">
        <f t="shared" si="6"/>
        <v>2.2000000000000002</v>
      </c>
      <c r="U10" s="273">
        <v>130.35</v>
      </c>
      <c r="V10" s="289">
        <f t="shared" si="7"/>
        <v>59.249999999999993</v>
      </c>
      <c r="W10" s="239"/>
      <c r="X10" s="222"/>
      <c r="Y10" s="270" t="e">
        <f t="shared" si="8"/>
        <v>#DIV/0!</v>
      </c>
      <c r="Z10" s="165">
        <v>7</v>
      </c>
      <c r="AA10" s="177">
        <v>96.24</v>
      </c>
      <c r="AB10" s="271">
        <f t="shared" si="11"/>
        <v>13.748571428571427</v>
      </c>
      <c r="AC10" s="176">
        <v>3</v>
      </c>
      <c r="AD10" s="176">
        <v>10.78</v>
      </c>
      <c r="AE10" s="282">
        <f t="shared" si="9"/>
        <v>3.5933333333333333</v>
      </c>
      <c r="AF10" s="175">
        <v>775.56</v>
      </c>
      <c r="AG10" s="52">
        <f t="shared" si="0"/>
        <v>1.8897660818713446</v>
      </c>
      <c r="AH10" s="176">
        <v>497.67000000000007</v>
      </c>
      <c r="AI10" s="235"/>
      <c r="AJ10" s="176">
        <v>715.19999999999993</v>
      </c>
      <c r="AK10" s="176"/>
      <c r="AL10" s="227">
        <v>106</v>
      </c>
      <c r="AM10" s="260">
        <v>1036.1500000000001</v>
      </c>
      <c r="AN10" s="172">
        <f t="shared" ref="AN10:AN36" si="12">AM10/AL10</f>
        <v>9.7750000000000004</v>
      </c>
      <c r="AO10" s="258">
        <f t="shared" si="10"/>
        <v>30654.654999999999</v>
      </c>
    </row>
    <row r="11" spans="1:41" ht="20.100000000000001" customHeight="1" x14ac:dyDescent="0.25">
      <c r="A11" s="283">
        <v>6</v>
      </c>
      <c r="B11" s="175">
        <v>85</v>
      </c>
      <c r="C11" s="176">
        <v>95</v>
      </c>
      <c r="D11" s="176">
        <v>142</v>
      </c>
      <c r="E11" s="176"/>
      <c r="F11" s="165">
        <v>419</v>
      </c>
      <c r="G11" s="176"/>
      <c r="H11" s="52">
        <f t="shared" si="1"/>
        <v>279.40000000000003</v>
      </c>
      <c r="I11" s="177">
        <v>16745.640000000003</v>
      </c>
      <c r="J11" s="94">
        <f t="shared" si="2"/>
        <v>59.934287759484612</v>
      </c>
      <c r="K11" s="229">
        <v>1014.47</v>
      </c>
      <c r="L11" s="279">
        <f t="shared" si="3"/>
        <v>3.6308876163206869</v>
      </c>
      <c r="M11" s="280">
        <f t="shared" si="4"/>
        <v>63.565175375805303</v>
      </c>
      <c r="N11" s="259">
        <v>41</v>
      </c>
      <c r="O11" s="177">
        <v>2381.7099999999996</v>
      </c>
      <c r="P11" s="279">
        <f t="shared" si="5"/>
        <v>58.090487804878038</v>
      </c>
      <c r="Q11" s="298">
        <v>1</v>
      </c>
      <c r="R11" s="297">
        <v>1</v>
      </c>
      <c r="S11" s="297">
        <v>1</v>
      </c>
      <c r="T11" s="271">
        <f t="shared" si="6"/>
        <v>1</v>
      </c>
      <c r="U11" s="273">
        <v>69.83</v>
      </c>
      <c r="V11" s="289">
        <f t="shared" si="7"/>
        <v>69.83</v>
      </c>
      <c r="W11" s="239"/>
      <c r="X11" s="222"/>
      <c r="Y11" s="270" t="e">
        <f t="shared" si="8"/>
        <v>#DIV/0!</v>
      </c>
      <c r="Z11" s="165">
        <v>7</v>
      </c>
      <c r="AA11" s="177">
        <v>96.24</v>
      </c>
      <c r="AB11" s="271">
        <f t="shared" si="11"/>
        <v>13.748571428571427</v>
      </c>
      <c r="AC11" s="176">
        <v>4</v>
      </c>
      <c r="AD11" s="176">
        <v>16.169999999999998</v>
      </c>
      <c r="AE11" s="282">
        <f t="shared" si="9"/>
        <v>4.0424999999999995</v>
      </c>
      <c r="AF11" s="175">
        <v>392</v>
      </c>
      <c r="AG11" s="52">
        <f t="shared" si="0"/>
        <v>1.2234706616729087</v>
      </c>
      <c r="AH11" s="176">
        <v>237.39</v>
      </c>
      <c r="AI11" s="235"/>
      <c r="AJ11" s="176"/>
      <c r="AK11" s="176"/>
      <c r="AL11" s="227">
        <v>106</v>
      </c>
      <c r="AM11" s="260">
        <v>1119.24</v>
      </c>
      <c r="AN11" s="172">
        <f t="shared" si="12"/>
        <v>10.558867924528302</v>
      </c>
      <c r="AO11" s="258">
        <f t="shared" si="10"/>
        <v>22072.690000000006</v>
      </c>
    </row>
    <row r="12" spans="1:41" ht="20.100000000000001" customHeight="1" x14ac:dyDescent="0.25">
      <c r="A12" s="283">
        <v>7</v>
      </c>
      <c r="B12" s="175">
        <v>84</v>
      </c>
      <c r="C12" s="176">
        <v>93</v>
      </c>
      <c r="D12" s="176">
        <v>135</v>
      </c>
      <c r="E12" s="176"/>
      <c r="F12" s="165">
        <v>419</v>
      </c>
      <c r="G12" s="176"/>
      <c r="H12" s="52">
        <f t="shared" si="1"/>
        <v>275.60000000000002</v>
      </c>
      <c r="I12" s="177">
        <v>15000.939999999999</v>
      </c>
      <c r="J12" s="94">
        <f t="shared" si="2"/>
        <v>54.43011611030478</v>
      </c>
      <c r="K12" s="241">
        <v>1633.1200000000001</v>
      </c>
      <c r="L12" s="279">
        <f t="shared" si="3"/>
        <v>5.9256894049346878</v>
      </c>
      <c r="M12" s="280">
        <f t="shared" si="4"/>
        <v>60.355805515239467</v>
      </c>
      <c r="N12" s="259">
        <v>39</v>
      </c>
      <c r="O12" s="177">
        <v>2270.2250000000004</v>
      </c>
      <c r="P12" s="279">
        <f t="shared" si="5"/>
        <v>58.210897435897444</v>
      </c>
      <c r="Q12" s="298">
        <v>1</v>
      </c>
      <c r="R12" s="297">
        <v>1</v>
      </c>
      <c r="S12" s="297">
        <v>1</v>
      </c>
      <c r="T12" s="271">
        <f t="shared" si="6"/>
        <v>1</v>
      </c>
      <c r="U12" s="273">
        <v>65</v>
      </c>
      <c r="V12" s="289">
        <f t="shared" si="7"/>
        <v>65</v>
      </c>
      <c r="W12" s="239"/>
      <c r="X12" s="239">
        <v>4141.24</v>
      </c>
      <c r="Y12" s="270" t="e">
        <f t="shared" si="8"/>
        <v>#DIV/0!</v>
      </c>
      <c r="Z12" s="176">
        <v>7</v>
      </c>
      <c r="AA12" s="177">
        <v>96.24</v>
      </c>
      <c r="AB12" s="271">
        <f t="shared" si="11"/>
        <v>13.748571428571427</v>
      </c>
      <c r="AC12" s="176">
        <v>4</v>
      </c>
      <c r="AD12" s="176">
        <v>19.950000000000003</v>
      </c>
      <c r="AE12" s="282">
        <f t="shared" si="9"/>
        <v>4.9875000000000007</v>
      </c>
      <c r="AF12" s="175"/>
      <c r="AG12" s="52">
        <f t="shared" si="0"/>
        <v>0</v>
      </c>
      <c r="AH12" s="176">
        <v>750</v>
      </c>
      <c r="AI12" s="235"/>
      <c r="AJ12" s="176"/>
      <c r="AK12" s="176"/>
      <c r="AL12" s="227">
        <v>106</v>
      </c>
      <c r="AM12" s="260">
        <v>1072.54</v>
      </c>
      <c r="AN12" s="172">
        <f t="shared" si="12"/>
        <v>10.118301886792452</v>
      </c>
      <c r="AO12" s="258">
        <f t="shared" si="10"/>
        <v>25049.254999999997</v>
      </c>
    </row>
    <row r="13" spans="1:41" ht="20.100000000000001" customHeight="1" x14ac:dyDescent="0.25">
      <c r="A13" s="283">
        <v>8</v>
      </c>
      <c r="B13" s="175">
        <v>200</v>
      </c>
      <c r="C13" s="176">
        <v>210</v>
      </c>
      <c r="D13" s="176">
        <v>405</v>
      </c>
      <c r="E13" s="176"/>
      <c r="F13" s="165">
        <v>449</v>
      </c>
      <c r="G13" s="176"/>
      <c r="H13" s="52">
        <f t="shared" si="1"/>
        <v>465.6</v>
      </c>
      <c r="I13" s="177">
        <v>28410.982399999997</v>
      </c>
      <c r="J13" s="94">
        <f t="shared" si="2"/>
        <v>61.020151202749133</v>
      </c>
      <c r="K13" s="229">
        <v>1530.52</v>
      </c>
      <c r="L13" s="279">
        <f t="shared" si="3"/>
        <v>3.2871993127147765</v>
      </c>
      <c r="M13" s="280">
        <f t="shared" si="4"/>
        <v>64.307350515463909</v>
      </c>
      <c r="N13" s="259">
        <v>39</v>
      </c>
      <c r="O13" s="177">
        <v>2256.0250000000005</v>
      </c>
      <c r="P13" s="279">
        <f t="shared" si="5"/>
        <v>57.846794871794884</v>
      </c>
      <c r="Q13" s="298">
        <v>1</v>
      </c>
      <c r="R13" s="297">
        <v>1</v>
      </c>
      <c r="S13" s="297">
        <v>1</v>
      </c>
      <c r="T13" s="271">
        <f t="shared" si="6"/>
        <v>1</v>
      </c>
      <c r="U13" s="273">
        <v>56.8</v>
      </c>
      <c r="V13" s="289">
        <f t="shared" si="7"/>
        <v>56.8</v>
      </c>
      <c r="W13" s="239"/>
      <c r="X13" s="239"/>
      <c r="Y13" s="270" t="e">
        <f t="shared" si="8"/>
        <v>#DIV/0!</v>
      </c>
      <c r="Z13" s="176">
        <v>32</v>
      </c>
      <c r="AA13" s="177">
        <v>449.12</v>
      </c>
      <c r="AB13" s="271">
        <f t="shared" si="11"/>
        <v>14.035</v>
      </c>
      <c r="AC13" s="176">
        <v>147</v>
      </c>
      <c r="AD13" s="176">
        <v>974.15000000000009</v>
      </c>
      <c r="AE13" s="282">
        <f t="shared" si="9"/>
        <v>6.6268707482993205</v>
      </c>
      <c r="AF13" s="175">
        <v>738</v>
      </c>
      <c r="AG13" s="52">
        <f t="shared" si="0"/>
        <v>1.4625445897740783</v>
      </c>
      <c r="AH13" s="176">
        <v>870</v>
      </c>
      <c r="AI13" s="235"/>
      <c r="AJ13" s="176"/>
      <c r="AK13" s="176"/>
      <c r="AL13" s="227">
        <v>106</v>
      </c>
      <c r="AM13" s="260">
        <v>1036.1299999999999</v>
      </c>
      <c r="AN13" s="172">
        <f t="shared" si="12"/>
        <v>9.7748113207547167</v>
      </c>
      <c r="AO13" s="258">
        <f t="shared" si="10"/>
        <v>36321.727400000003</v>
      </c>
    </row>
    <row r="14" spans="1:41" ht="20.100000000000001" customHeight="1" x14ac:dyDescent="0.25">
      <c r="A14" s="283">
        <v>9</v>
      </c>
      <c r="B14" s="164">
        <v>195</v>
      </c>
      <c r="C14" s="165">
        <v>206</v>
      </c>
      <c r="D14" s="165">
        <v>405</v>
      </c>
      <c r="E14" s="176"/>
      <c r="F14" s="165">
        <v>449</v>
      </c>
      <c r="G14" s="176"/>
      <c r="H14" s="52">
        <f t="shared" si="1"/>
        <v>463</v>
      </c>
      <c r="I14" s="177">
        <v>26161.399799999996</v>
      </c>
      <c r="J14" s="94">
        <f t="shared" si="2"/>
        <v>56.504103239740815</v>
      </c>
      <c r="K14" s="241">
        <v>1808.8899999999999</v>
      </c>
      <c r="L14" s="279">
        <f t="shared" si="3"/>
        <v>3.9068898488120949</v>
      </c>
      <c r="M14" s="280">
        <f t="shared" si="4"/>
        <v>60.410993088552907</v>
      </c>
      <c r="N14" s="259">
        <v>39</v>
      </c>
      <c r="O14" s="177">
        <v>2186.0299999999993</v>
      </c>
      <c r="P14" s="279">
        <f t="shared" si="5"/>
        <v>56.052051282051266</v>
      </c>
      <c r="Q14" s="298">
        <v>1</v>
      </c>
      <c r="R14" s="297">
        <v>1</v>
      </c>
      <c r="S14" s="297">
        <v>3</v>
      </c>
      <c r="T14" s="271">
        <f t="shared" si="6"/>
        <v>1.8000000000000003</v>
      </c>
      <c r="U14" s="273">
        <v>106.85</v>
      </c>
      <c r="V14" s="289">
        <f t="shared" si="7"/>
        <v>59.3611111111111</v>
      </c>
      <c r="W14" s="239"/>
      <c r="X14" s="239"/>
      <c r="Y14" s="270" t="e">
        <f t="shared" si="8"/>
        <v>#DIV/0!</v>
      </c>
      <c r="Z14" s="176">
        <v>32</v>
      </c>
      <c r="AA14" s="177">
        <v>449.12</v>
      </c>
      <c r="AB14" s="271">
        <f t="shared" si="11"/>
        <v>14.035</v>
      </c>
      <c r="AC14" s="176">
        <v>6</v>
      </c>
      <c r="AD14" s="176">
        <v>37.24</v>
      </c>
      <c r="AE14" s="282">
        <f t="shared" si="9"/>
        <v>6.206666666666667</v>
      </c>
      <c r="AF14" s="175">
        <v>632.9</v>
      </c>
      <c r="AG14" s="52">
        <f t="shared" si="0"/>
        <v>1.2607569721115537</v>
      </c>
      <c r="AH14" s="176">
        <v>510</v>
      </c>
      <c r="AI14" s="235"/>
      <c r="AJ14" s="176">
        <v>204.99999999999997</v>
      </c>
      <c r="AK14" s="176"/>
      <c r="AL14" s="227">
        <v>106</v>
      </c>
      <c r="AM14" s="260">
        <v>1158.2600000000002</v>
      </c>
      <c r="AN14" s="172">
        <f t="shared" si="12"/>
        <v>10.926981132075474</v>
      </c>
      <c r="AO14" s="258">
        <f t="shared" si="10"/>
        <v>33255.689799999993</v>
      </c>
    </row>
    <row r="15" spans="1:41" ht="20.100000000000001" customHeight="1" x14ac:dyDescent="0.25">
      <c r="A15" s="283">
        <v>10</v>
      </c>
      <c r="B15" s="164">
        <v>199</v>
      </c>
      <c r="C15" s="165">
        <v>208</v>
      </c>
      <c r="D15" s="165">
        <v>417</v>
      </c>
      <c r="E15" s="176"/>
      <c r="F15" s="165">
        <v>449</v>
      </c>
      <c r="G15" s="176"/>
      <c r="H15" s="52">
        <f t="shared" si="1"/>
        <v>469.40000000000003</v>
      </c>
      <c r="I15" s="177">
        <v>25034.57</v>
      </c>
      <c r="J15" s="94">
        <f t="shared" si="2"/>
        <v>53.333127396676602</v>
      </c>
      <c r="K15" s="229">
        <v>2408.52</v>
      </c>
      <c r="L15" s="279">
        <f t="shared" si="3"/>
        <v>5.1310609288453337</v>
      </c>
      <c r="M15" s="280">
        <f t="shared" si="4"/>
        <v>58.464188325521938</v>
      </c>
      <c r="N15" s="259">
        <v>41</v>
      </c>
      <c r="O15" s="177">
        <v>2311.0149999999999</v>
      </c>
      <c r="P15" s="279">
        <f t="shared" si="5"/>
        <v>56.366219512195116</v>
      </c>
      <c r="Q15" s="298">
        <v>1</v>
      </c>
      <c r="R15" s="297">
        <v>3</v>
      </c>
      <c r="S15" s="297">
        <v>3</v>
      </c>
      <c r="T15" s="271">
        <f t="shared" si="6"/>
        <v>2.6000000000000005</v>
      </c>
      <c r="U15" s="273">
        <v>100.39999999999999</v>
      </c>
      <c r="V15" s="289">
        <f t="shared" si="7"/>
        <v>38.615384615384606</v>
      </c>
      <c r="W15" s="239"/>
      <c r="X15" s="239"/>
      <c r="Y15" s="270" t="e">
        <f t="shared" si="8"/>
        <v>#DIV/0!</v>
      </c>
      <c r="Z15" s="176">
        <v>32</v>
      </c>
      <c r="AA15" s="177">
        <v>449.12</v>
      </c>
      <c r="AB15" s="271">
        <f t="shared" si="11"/>
        <v>14.035</v>
      </c>
      <c r="AC15" s="176">
        <v>16</v>
      </c>
      <c r="AD15" s="176">
        <v>26.6</v>
      </c>
      <c r="AE15" s="282">
        <f t="shared" si="9"/>
        <v>1.6625000000000001</v>
      </c>
      <c r="AF15" s="175">
        <v>824.06000000000006</v>
      </c>
      <c r="AG15" s="52">
        <f t="shared" si="0"/>
        <v>1.6145376175548589</v>
      </c>
      <c r="AH15" s="176">
        <v>261.5</v>
      </c>
      <c r="AI15" s="235"/>
      <c r="AJ15" s="176"/>
      <c r="AK15" s="176">
        <v>4957.2</v>
      </c>
      <c r="AL15" s="227">
        <v>106</v>
      </c>
      <c r="AM15" s="260">
        <v>1048.1099999999999</v>
      </c>
      <c r="AN15" s="172">
        <f t="shared" si="12"/>
        <v>9.8878301886792439</v>
      </c>
      <c r="AO15" s="258">
        <f t="shared" si="10"/>
        <v>37421.095000000001</v>
      </c>
    </row>
    <row r="16" spans="1:41" ht="20.100000000000001" customHeight="1" x14ac:dyDescent="0.25">
      <c r="A16" s="283">
        <v>11</v>
      </c>
      <c r="B16" s="164">
        <v>197</v>
      </c>
      <c r="C16" s="165">
        <v>207</v>
      </c>
      <c r="D16" s="165">
        <v>336</v>
      </c>
      <c r="E16" s="176"/>
      <c r="F16" s="165">
        <v>437</v>
      </c>
      <c r="G16" s="176"/>
      <c r="H16" s="52">
        <f t="shared" si="1"/>
        <v>431.4</v>
      </c>
      <c r="I16" s="177">
        <v>21847.037000000004</v>
      </c>
      <c r="J16" s="94">
        <f t="shared" si="2"/>
        <v>50.642181270282812</v>
      </c>
      <c r="K16" s="241">
        <v>1883.26</v>
      </c>
      <c r="L16" s="279">
        <f t="shared" si="3"/>
        <v>4.365461288827075</v>
      </c>
      <c r="M16" s="280">
        <f t="shared" si="4"/>
        <v>55.007642559109883</v>
      </c>
      <c r="N16" s="259">
        <v>40</v>
      </c>
      <c r="O16" s="177">
        <v>2270.8549999999996</v>
      </c>
      <c r="P16" s="279">
        <f t="shared" si="5"/>
        <v>56.771374999999992</v>
      </c>
      <c r="Q16" s="298">
        <v>1</v>
      </c>
      <c r="R16" s="297">
        <v>1</v>
      </c>
      <c r="S16" s="297">
        <v>3</v>
      </c>
      <c r="T16" s="271">
        <f t="shared" si="6"/>
        <v>1.8000000000000003</v>
      </c>
      <c r="U16" s="273">
        <v>101.15</v>
      </c>
      <c r="V16" s="289">
        <f t="shared" si="7"/>
        <v>56.194444444444436</v>
      </c>
      <c r="W16" s="239"/>
      <c r="X16" s="239"/>
      <c r="Y16" s="270" t="e">
        <f t="shared" si="8"/>
        <v>#DIV/0!</v>
      </c>
      <c r="Z16" s="176">
        <v>17</v>
      </c>
      <c r="AA16" s="177">
        <v>227.89999999999998</v>
      </c>
      <c r="AB16" s="271">
        <f t="shared" si="11"/>
        <v>13.405882352941175</v>
      </c>
      <c r="AC16" s="176">
        <v>6</v>
      </c>
      <c r="AD16" s="176">
        <v>26.6</v>
      </c>
      <c r="AE16" s="282">
        <f t="shared" si="9"/>
        <v>4.4333333333333336</v>
      </c>
      <c r="AF16" s="175">
        <v>548.29999999999995</v>
      </c>
      <c r="AG16" s="52">
        <f t="shared" si="0"/>
        <v>1.1631310988544761</v>
      </c>
      <c r="AH16" s="176">
        <v>374.38</v>
      </c>
      <c r="AI16" s="235"/>
      <c r="AJ16" s="176"/>
      <c r="AK16" s="176"/>
      <c r="AL16" s="227">
        <v>106</v>
      </c>
      <c r="AM16" s="260">
        <v>1021.3499999999999</v>
      </c>
      <c r="AN16" s="172">
        <f t="shared" si="12"/>
        <v>9.6353773584905653</v>
      </c>
      <c r="AO16" s="258">
        <f t="shared" si="10"/>
        <v>28300.832000000006</v>
      </c>
    </row>
    <row r="17" spans="1:41" ht="20.100000000000001" customHeight="1" x14ac:dyDescent="0.25">
      <c r="A17" s="283">
        <v>12</v>
      </c>
      <c r="B17" s="164">
        <v>200</v>
      </c>
      <c r="C17" s="165">
        <v>209</v>
      </c>
      <c r="D17" s="165">
        <v>205</v>
      </c>
      <c r="E17" s="176"/>
      <c r="F17" s="165">
        <v>438</v>
      </c>
      <c r="G17" s="176"/>
      <c r="H17" s="52">
        <f t="shared" si="1"/>
        <v>380.8</v>
      </c>
      <c r="I17" s="177">
        <v>21209.669599999997</v>
      </c>
      <c r="J17" s="94">
        <f t="shared" si="2"/>
        <v>55.697661764705877</v>
      </c>
      <c r="K17" s="229">
        <v>1497.5400000000002</v>
      </c>
      <c r="L17" s="279">
        <f t="shared" si="3"/>
        <v>3.932615546218488</v>
      </c>
      <c r="M17" s="280">
        <f t="shared" si="4"/>
        <v>59.630277310924363</v>
      </c>
      <c r="N17" s="259">
        <v>40</v>
      </c>
      <c r="O17" s="177">
        <v>2032.3099999999997</v>
      </c>
      <c r="P17" s="279">
        <f t="shared" si="5"/>
        <v>50.807749999999992</v>
      </c>
      <c r="Q17" s="298">
        <v>1</v>
      </c>
      <c r="R17" s="297">
        <v>1</v>
      </c>
      <c r="S17" s="297">
        <v>3</v>
      </c>
      <c r="T17" s="271">
        <f t="shared" si="6"/>
        <v>1.8000000000000003</v>
      </c>
      <c r="U17" s="273">
        <v>100.16</v>
      </c>
      <c r="V17" s="289">
        <f t="shared" si="7"/>
        <v>55.644444444444431</v>
      </c>
      <c r="W17" s="239"/>
      <c r="X17" s="239"/>
      <c r="Y17" s="270" t="e">
        <f t="shared" si="8"/>
        <v>#DIV/0!</v>
      </c>
      <c r="Z17" s="176">
        <v>7</v>
      </c>
      <c r="AA17" s="177">
        <v>99.58</v>
      </c>
      <c r="AB17" s="271">
        <f t="shared" si="11"/>
        <v>14.225714285714286</v>
      </c>
      <c r="AC17" s="176">
        <v>4</v>
      </c>
      <c r="AD17" s="176">
        <v>26.6</v>
      </c>
      <c r="AE17" s="282">
        <f t="shared" si="9"/>
        <v>6.65</v>
      </c>
      <c r="AF17" s="175">
        <v>269</v>
      </c>
      <c r="AG17" s="52">
        <f t="shared" si="0"/>
        <v>0.63925855513307983</v>
      </c>
      <c r="AH17" s="176">
        <v>412.56000000000006</v>
      </c>
      <c r="AI17" s="235"/>
      <c r="AJ17" s="176">
        <v>541.59999999999991</v>
      </c>
      <c r="AK17" s="176"/>
      <c r="AL17" s="227">
        <v>106</v>
      </c>
      <c r="AM17" s="260">
        <v>1171.29</v>
      </c>
      <c r="AN17" s="172">
        <f t="shared" si="12"/>
        <v>11.049905660377359</v>
      </c>
      <c r="AO17" s="258">
        <f t="shared" si="10"/>
        <v>27360.309599999997</v>
      </c>
    </row>
    <row r="18" spans="1:41" ht="20.100000000000001" customHeight="1" x14ac:dyDescent="0.25">
      <c r="A18" s="283">
        <v>13</v>
      </c>
      <c r="B18" s="164">
        <v>83</v>
      </c>
      <c r="C18" s="165">
        <v>92</v>
      </c>
      <c r="D18" s="165">
        <v>155</v>
      </c>
      <c r="E18" s="176"/>
      <c r="F18" s="165">
        <v>441</v>
      </c>
      <c r="G18" s="176"/>
      <c r="H18" s="52">
        <f t="shared" si="1"/>
        <v>291.8</v>
      </c>
      <c r="I18" s="177">
        <v>13835.29</v>
      </c>
      <c r="J18" s="94">
        <f t="shared" si="2"/>
        <v>47.413605209047297</v>
      </c>
      <c r="K18" s="241">
        <v>1511.95</v>
      </c>
      <c r="L18" s="279">
        <f t="shared" si="3"/>
        <v>5.1814599040438658</v>
      </c>
      <c r="M18" s="280">
        <f t="shared" si="4"/>
        <v>52.59506511309116</v>
      </c>
      <c r="N18" s="175">
        <v>39</v>
      </c>
      <c r="O18" s="177">
        <v>2318.8371999999999</v>
      </c>
      <c r="P18" s="279">
        <f t="shared" si="5"/>
        <v>59.4573641025641</v>
      </c>
      <c r="Q18" s="296"/>
      <c r="R18" s="273"/>
      <c r="S18" s="273"/>
      <c r="T18" s="271">
        <f t="shared" si="6"/>
        <v>0</v>
      </c>
      <c r="U18" s="273"/>
      <c r="V18" s="289" t="e">
        <f t="shared" si="7"/>
        <v>#DIV/0!</v>
      </c>
      <c r="W18" s="239"/>
      <c r="X18" s="239"/>
      <c r="Y18" s="270" t="e">
        <f t="shared" si="8"/>
        <v>#DIV/0!</v>
      </c>
      <c r="Z18" s="176">
        <v>7</v>
      </c>
      <c r="AA18" s="177">
        <v>99.58</v>
      </c>
      <c r="AB18" s="271">
        <f t="shared" si="11"/>
        <v>14.225714285714286</v>
      </c>
      <c r="AC18" s="176">
        <v>4</v>
      </c>
      <c r="AD18" s="176">
        <v>38.199999999999996</v>
      </c>
      <c r="AE18" s="282">
        <f t="shared" si="9"/>
        <v>9.5499999999999989</v>
      </c>
      <c r="AF18" s="175">
        <v>509.95</v>
      </c>
      <c r="AG18" s="52">
        <f t="shared" si="0"/>
        <v>1.5415659008464329</v>
      </c>
      <c r="AH18" s="176">
        <v>527.06000000000006</v>
      </c>
      <c r="AI18" s="235"/>
      <c r="AJ18" s="176"/>
      <c r="AK18" s="176"/>
      <c r="AL18" s="227">
        <v>106</v>
      </c>
      <c r="AM18" s="260">
        <v>1031.9000000000001</v>
      </c>
      <c r="AN18" s="172">
        <f t="shared" si="12"/>
        <v>9.7349056603773594</v>
      </c>
      <c r="AO18" s="258">
        <f t="shared" si="10"/>
        <v>19872.767200000002</v>
      </c>
    </row>
    <row r="19" spans="1:41" ht="20.100000000000001" customHeight="1" x14ac:dyDescent="0.25">
      <c r="A19" s="283">
        <v>14</v>
      </c>
      <c r="B19" s="164">
        <v>85</v>
      </c>
      <c r="C19" s="165">
        <v>95</v>
      </c>
      <c r="D19" s="165">
        <v>149</v>
      </c>
      <c r="E19" s="176"/>
      <c r="F19" s="165">
        <v>427</v>
      </c>
      <c r="G19" s="176"/>
      <c r="H19" s="52">
        <f t="shared" si="1"/>
        <v>285.40000000000003</v>
      </c>
      <c r="I19" s="177">
        <v>15465.466399999999</v>
      </c>
      <c r="J19" s="94">
        <f t="shared" si="2"/>
        <v>54.188740014015409</v>
      </c>
      <c r="K19" s="229">
        <v>1598.26</v>
      </c>
      <c r="L19" s="279">
        <f t="shared" si="3"/>
        <v>5.6000700770847924</v>
      </c>
      <c r="M19" s="280">
        <f t="shared" si="4"/>
        <v>59.788810091100203</v>
      </c>
      <c r="N19" s="175">
        <v>40</v>
      </c>
      <c r="O19" s="177">
        <v>2173.3900000000003</v>
      </c>
      <c r="P19" s="279">
        <f t="shared" si="5"/>
        <v>54.334750000000007</v>
      </c>
      <c r="Q19" s="296"/>
      <c r="R19" s="297">
        <v>1</v>
      </c>
      <c r="S19" s="297">
        <v>1</v>
      </c>
      <c r="T19" s="271">
        <f t="shared" si="6"/>
        <v>0.8</v>
      </c>
      <c r="U19" s="273">
        <v>32.35</v>
      </c>
      <c r="V19" s="289">
        <f t="shared" si="7"/>
        <v>40.4375</v>
      </c>
      <c r="W19" s="239"/>
      <c r="X19" s="284"/>
      <c r="Y19" s="270" t="e">
        <f t="shared" si="8"/>
        <v>#DIV/0!</v>
      </c>
      <c r="Z19" s="176">
        <v>7</v>
      </c>
      <c r="AA19" s="177">
        <v>99.58</v>
      </c>
      <c r="AB19" s="271">
        <f t="shared" si="11"/>
        <v>14.225714285714286</v>
      </c>
      <c r="AC19" s="176">
        <v>4</v>
      </c>
      <c r="AD19" s="176">
        <v>23.900000000000002</v>
      </c>
      <c r="AE19" s="282">
        <f t="shared" si="9"/>
        <v>5.9750000000000005</v>
      </c>
      <c r="AF19" s="175">
        <v>332</v>
      </c>
      <c r="AG19" s="52">
        <f t="shared" si="0"/>
        <v>1.0202827289489858</v>
      </c>
      <c r="AH19" s="176"/>
      <c r="AI19" s="235"/>
      <c r="AJ19" s="177"/>
      <c r="AK19" s="176"/>
      <c r="AL19" s="227">
        <v>106</v>
      </c>
      <c r="AM19" s="260">
        <v>1083.3500000000001</v>
      </c>
      <c r="AN19" s="172">
        <f t="shared" si="12"/>
        <v>10.220283018867926</v>
      </c>
      <c r="AO19" s="258">
        <f t="shared" si="10"/>
        <v>20808.296399999999</v>
      </c>
    </row>
    <row r="20" spans="1:41" ht="20.100000000000001" customHeight="1" x14ac:dyDescent="0.25">
      <c r="A20" s="283">
        <v>15</v>
      </c>
      <c r="B20" s="175">
        <v>190</v>
      </c>
      <c r="C20" s="176">
        <v>205</v>
      </c>
      <c r="D20" s="165">
        <v>378</v>
      </c>
      <c r="E20" s="176"/>
      <c r="F20" s="165">
        <v>497</v>
      </c>
      <c r="G20" s="176"/>
      <c r="H20" s="52">
        <f t="shared" si="1"/>
        <v>470</v>
      </c>
      <c r="I20" s="177">
        <v>21274.645400000001</v>
      </c>
      <c r="J20" s="94">
        <f t="shared" si="2"/>
        <v>45.265202978723408</v>
      </c>
      <c r="K20" s="241">
        <v>2739.0000000000005</v>
      </c>
      <c r="L20" s="279">
        <f t="shared" si="3"/>
        <v>5.8276595744680861</v>
      </c>
      <c r="M20" s="280">
        <f t="shared" si="4"/>
        <v>51.092862553191495</v>
      </c>
      <c r="N20" s="175">
        <v>40</v>
      </c>
      <c r="O20" s="177">
        <v>2255.41</v>
      </c>
      <c r="P20" s="279">
        <f t="shared" si="5"/>
        <v>56.385249999999999</v>
      </c>
      <c r="Q20" s="298">
        <v>1</v>
      </c>
      <c r="R20" s="297">
        <v>1</v>
      </c>
      <c r="S20" s="297">
        <v>3</v>
      </c>
      <c r="T20" s="271">
        <f t="shared" si="6"/>
        <v>1.8000000000000003</v>
      </c>
      <c r="U20" s="273">
        <v>53.26</v>
      </c>
      <c r="V20" s="289">
        <f t="shared" si="7"/>
        <v>29.588888888888885</v>
      </c>
      <c r="W20" s="239"/>
      <c r="X20" s="239"/>
      <c r="Y20" s="270" t="e">
        <f t="shared" si="8"/>
        <v>#DIV/0!</v>
      </c>
      <c r="Z20" s="176">
        <v>32</v>
      </c>
      <c r="AA20" s="177">
        <v>440.45</v>
      </c>
      <c r="AB20" s="271">
        <f t="shared" si="11"/>
        <v>13.7640625</v>
      </c>
      <c r="AC20" s="176">
        <v>157</v>
      </c>
      <c r="AD20" s="176">
        <v>23.900000000000002</v>
      </c>
      <c r="AE20" s="282">
        <f t="shared" si="9"/>
        <v>0.15222929936305735</v>
      </c>
      <c r="AF20" s="175">
        <v>452</v>
      </c>
      <c r="AG20" s="52">
        <f t="shared" si="0"/>
        <v>0.88627450980392153</v>
      </c>
      <c r="AH20" s="176"/>
      <c r="AI20" s="235"/>
      <c r="AJ20" s="176"/>
      <c r="AK20" s="176"/>
      <c r="AL20" s="227">
        <v>106</v>
      </c>
      <c r="AM20" s="260">
        <v>1216.8499999999999</v>
      </c>
      <c r="AN20" s="172">
        <f t="shared" si="12"/>
        <v>11.479716981132075</v>
      </c>
      <c r="AO20" s="258">
        <f t="shared" si="10"/>
        <v>28455.5154</v>
      </c>
    </row>
    <row r="21" spans="1:41" ht="20.100000000000001" customHeight="1" x14ac:dyDescent="0.25">
      <c r="A21" s="283">
        <v>16</v>
      </c>
      <c r="B21" s="164">
        <v>192</v>
      </c>
      <c r="C21" s="165">
        <v>200</v>
      </c>
      <c r="D21" s="176">
        <v>329</v>
      </c>
      <c r="E21" s="176"/>
      <c r="F21" s="165">
        <v>499</v>
      </c>
      <c r="G21" s="176"/>
      <c r="H21" s="52">
        <f t="shared" si="1"/>
        <v>449.6</v>
      </c>
      <c r="I21" s="177">
        <v>24485.249199999998</v>
      </c>
      <c r="J21" s="94">
        <f t="shared" si="2"/>
        <v>54.46007384341636</v>
      </c>
      <c r="K21" s="229">
        <v>1401.05</v>
      </c>
      <c r="L21" s="279">
        <f t="shared" si="3"/>
        <v>3.1162144128113876</v>
      </c>
      <c r="M21" s="280">
        <f t="shared" si="4"/>
        <v>57.576288256227748</v>
      </c>
      <c r="N21" s="175">
        <v>41</v>
      </c>
      <c r="O21" s="177">
        <v>2134.895</v>
      </c>
      <c r="P21" s="279">
        <f t="shared" si="5"/>
        <v>52.070609756097561</v>
      </c>
      <c r="Q21" s="298">
        <v>1</v>
      </c>
      <c r="R21" s="297">
        <v>1</v>
      </c>
      <c r="S21" s="297">
        <v>3</v>
      </c>
      <c r="T21" s="271">
        <f t="shared" si="6"/>
        <v>1.8000000000000003</v>
      </c>
      <c r="U21" s="273">
        <v>72.45</v>
      </c>
      <c r="V21" s="289">
        <f t="shared" si="7"/>
        <v>40.249999999999993</v>
      </c>
      <c r="W21" s="239"/>
      <c r="X21" s="239"/>
      <c r="Y21" s="270" t="e">
        <f t="shared" si="8"/>
        <v>#DIV/0!</v>
      </c>
      <c r="Z21" s="176">
        <v>32</v>
      </c>
      <c r="AA21" s="177">
        <v>453.84000000000003</v>
      </c>
      <c r="AB21" s="271">
        <f t="shared" si="11"/>
        <v>14.182500000000001</v>
      </c>
      <c r="AC21" s="176">
        <v>6</v>
      </c>
      <c r="AD21" s="176">
        <v>26.6</v>
      </c>
      <c r="AE21" s="282">
        <f t="shared" si="9"/>
        <v>4.4333333333333336</v>
      </c>
      <c r="AF21" s="175">
        <v>455.34</v>
      </c>
      <c r="AG21" s="52">
        <f t="shared" si="0"/>
        <v>0.92812882185079482</v>
      </c>
      <c r="AH21" s="176"/>
      <c r="AI21" s="235"/>
      <c r="AJ21" s="176">
        <v>234.3</v>
      </c>
      <c r="AK21" s="176"/>
      <c r="AL21" s="227">
        <v>106</v>
      </c>
      <c r="AM21" s="260">
        <v>1108.23</v>
      </c>
      <c r="AN21" s="172">
        <f t="shared" si="12"/>
        <v>10.455</v>
      </c>
      <c r="AO21" s="258">
        <f t="shared" si="10"/>
        <v>30371.9542</v>
      </c>
    </row>
    <row r="22" spans="1:41" ht="20.100000000000001" customHeight="1" x14ac:dyDescent="0.25">
      <c r="A22" s="283">
        <v>17</v>
      </c>
      <c r="B22" s="175">
        <v>200</v>
      </c>
      <c r="C22" s="176">
        <v>209</v>
      </c>
      <c r="D22" s="165">
        <v>326</v>
      </c>
      <c r="E22" s="176"/>
      <c r="F22" s="165">
        <v>509</v>
      </c>
      <c r="G22" s="176"/>
      <c r="H22" s="52">
        <f t="shared" si="1"/>
        <v>457.6</v>
      </c>
      <c r="I22" s="177">
        <v>21940.002199999995</v>
      </c>
      <c r="J22" s="94">
        <f t="shared" si="2"/>
        <v>47.945809003496493</v>
      </c>
      <c r="K22" s="241">
        <v>1340.4399999999998</v>
      </c>
      <c r="L22" s="279">
        <f t="shared" si="3"/>
        <v>2.9292832167832161</v>
      </c>
      <c r="M22" s="280">
        <f t="shared" si="4"/>
        <v>50.875092220279704</v>
      </c>
      <c r="N22" s="175">
        <v>38</v>
      </c>
      <c r="O22" s="177">
        <v>1980.4099999999999</v>
      </c>
      <c r="P22" s="279">
        <f t="shared" si="5"/>
        <v>52.116052631578945</v>
      </c>
      <c r="Q22" s="298">
        <v>1</v>
      </c>
      <c r="R22" s="297">
        <v>1</v>
      </c>
      <c r="S22" s="297">
        <v>3</v>
      </c>
      <c r="T22" s="271">
        <f t="shared" si="6"/>
        <v>1.8000000000000003</v>
      </c>
      <c r="U22" s="273">
        <v>81.599999999999994</v>
      </c>
      <c r="V22" s="289">
        <f t="shared" si="7"/>
        <v>45.333333333333321</v>
      </c>
      <c r="W22" s="239"/>
      <c r="X22" s="239"/>
      <c r="Y22" s="270" t="e">
        <f t="shared" si="8"/>
        <v>#DIV/0!</v>
      </c>
      <c r="Z22" s="176">
        <v>32</v>
      </c>
      <c r="AA22" s="177">
        <v>404</v>
      </c>
      <c r="AB22" s="271">
        <f t="shared" si="11"/>
        <v>12.625</v>
      </c>
      <c r="AC22" s="176">
        <v>16</v>
      </c>
      <c r="AD22" s="176">
        <v>26.6</v>
      </c>
      <c r="AE22" s="282">
        <f t="shared" si="9"/>
        <v>1.6625000000000001</v>
      </c>
      <c r="AF22" s="175">
        <v>488.9</v>
      </c>
      <c r="AG22" s="52">
        <f t="shared" si="0"/>
        <v>0.9864810330912025</v>
      </c>
      <c r="AH22" s="176">
        <v>290.77999999999997</v>
      </c>
      <c r="AI22" s="235"/>
      <c r="AJ22" s="176"/>
      <c r="AK22" s="176"/>
      <c r="AL22" s="227">
        <v>106</v>
      </c>
      <c r="AM22" s="260">
        <v>1041.02</v>
      </c>
      <c r="AN22" s="172">
        <f t="shared" si="12"/>
        <v>9.820943396226415</v>
      </c>
      <c r="AO22" s="258">
        <f t="shared" si="10"/>
        <v>27593.752199999992</v>
      </c>
    </row>
    <row r="23" spans="1:41" ht="20.100000000000001" customHeight="1" x14ac:dyDescent="0.25">
      <c r="A23" s="283">
        <v>18</v>
      </c>
      <c r="B23" s="175">
        <v>198</v>
      </c>
      <c r="C23" s="176">
        <v>207</v>
      </c>
      <c r="D23" s="165">
        <v>204</v>
      </c>
      <c r="E23" s="176"/>
      <c r="F23" s="165">
        <v>499</v>
      </c>
      <c r="G23" s="176"/>
      <c r="H23" s="52">
        <f t="shared" si="1"/>
        <v>403.6</v>
      </c>
      <c r="I23" s="177">
        <v>22710.423200000001</v>
      </c>
      <c r="J23" s="94">
        <f t="shared" si="2"/>
        <v>56.269631318136767</v>
      </c>
      <c r="K23" s="229">
        <v>1851.7400000000002</v>
      </c>
      <c r="L23" s="279">
        <f t="shared" si="3"/>
        <v>4.5880574826560956</v>
      </c>
      <c r="M23" s="280">
        <f t="shared" si="4"/>
        <v>60.857688800792864</v>
      </c>
      <c r="N23" s="175">
        <v>40</v>
      </c>
      <c r="O23" s="177">
        <v>2176.9349999999999</v>
      </c>
      <c r="P23" s="279">
        <f t="shared" si="5"/>
        <v>54.423375</v>
      </c>
      <c r="Q23" s="298">
        <v>1</v>
      </c>
      <c r="R23" s="297">
        <v>1</v>
      </c>
      <c r="S23" s="297">
        <v>3</v>
      </c>
      <c r="T23" s="271">
        <f t="shared" si="6"/>
        <v>1.8000000000000003</v>
      </c>
      <c r="U23" s="273">
        <v>68.509999999999991</v>
      </c>
      <c r="V23" s="289">
        <f t="shared" si="7"/>
        <v>38.061111111111103</v>
      </c>
      <c r="W23" s="239"/>
      <c r="X23" s="239"/>
      <c r="Y23" s="270" t="e">
        <f t="shared" si="8"/>
        <v>#DIV/0!</v>
      </c>
      <c r="Z23" s="176">
        <v>17</v>
      </c>
      <c r="AA23" s="177">
        <v>232.92000000000002</v>
      </c>
      <c r="AB23" s="271">
        <f t="shared" si="11"/>
        <v>13.701176470588237</v>
      </c>
      <c r="AC23" s="176">
        <v>4</v>
      </c>
      <c r="AD23" s="176">
        <v>26.6</v>
      </c>
      <c r="AE23" s="282">
        <f t="shared" si="9"/>
        <v>6.65</v>
      </c>
      <c r="AF23" s="175">
        <v>166</v>
      </c>
      <c r="AG23" s="52">
        <f t="shared" si="0"/>
        <v>0.37421100090171322</v>
      </c>
      <c r="AH23" s="176">
        <v>232.35</v>
      </c>
      <c r="AI23" s="235"/>
      <c r="AJ23" s="176"/>
      <c r="AK23" s="176"/>
      <c r="AL23" s="227">
        <v>106</v>
      </c>
      <c r="AM23" s="260">
        <v>1218.58</v>
      </c>
      <c r="AN23" s="172">
        <f t="shared" si="12"/>
        <v>11.496037735849056</v>
      </c>
      <c r="AO23" s="258">
        <f t="shared" si="10"/>
        <v>28684.058199999999</v>
      </c>
    </row>
    <row r="24" spans="1:41" ht="20.100000000000001" customHeight="1" x14ac:dyDescent="0.25">
      <c r="A24" s="283">
        <v>19</v>
      </c>
      <c r="B24" s="175">
        <v>198</v>
      </c>
      <c r="C24" s="176">
        <v>210</v>
      </c>
      <c r="D24" s="165">
        <v>201</v>
      </c>
      <c r="E24" s="176"/>
      <c r="F24" s="165">
        <v>529</v>
      </c>
      <c r="G24" s="176"/>
      <c r="H24" s="52">
        <f t="shared" si="1"/>
        <v>415.6</v>
      </c>
      <c r="I24" s="177">
        <v>20039.836500000005</v>
      </c>
      <c r="J24" s="94">
        <f t="shared" si="2"/>
        <v>48.219048363811368</v>
      </c>
      <c r="K24" s="241">
        <v>1901.13</v>
      </c>
      <c r="L24" s="279">
        <f t="shared" si="3"/>
        <v>4.5744225216554382</v>
      </c>
      <c r="M24" s="280">
        <f t="shared" si="4"/>
        <v>52.793470885466803</v>
      </c>
      <c r="N24" s="175">
        <v>39</v>
      </c>
      <c r="O24" s="177">
        <v>2331.6149999999998</v>
      </c>
      <c r="P24" s="279">
        <f t="shared" si="5"/>
        <v>59.784999999999997</v>
      </c>
      <c r="Q24" s="110"/>
      <c r="R24" s="110"/>
      <c r="S24" s="110"/>
      <c r="T24" s="271">
        <f t="shared" si="6"/>
        <v>0</v>
      </c>
      <c r="U24" s="273"/>
      <c r="V24" s="289" t="e">
        <f t="shared" si="7"/>
        <v>#DIV/0!</v>
      </c>
      <c r="W24" s="239"/>
      <c r="X24" s="239"/>
      <c r="Y24" s="270" t="e">
        <f t="shared" si="8"/>
        <v>#DIV/0!</v>
      </c>
      <c r="Z24" s="176">
        <v>7</v>
      </c>
      <c r="AA24" s="177">
        <v>96.75</v>
      </c>
      <c r="AB24" s="271">
        <f t="shared" si="11"/>
        <v>13.821428571428571</v>
      </c>
      <c r="AC24" s="176">
        <v>20</v>
      </c>
      <c r="AD24" s="176">
        <v>121.30000000000001</v>
      </c>
      <c r="AE24" s="282">
        <f t="shared" si="9"/>
        <v>6.0650000000000004</v>
      </c>
      <c r="AF24" s="175">
        <v>693</v>
      </c>
      <c r="AG24" s="52">
        <f t="shared" si="0"/>
        <v>1.5244170699516058</v>
      </c>
      <c r="AH24" s="176">
        <v>155.19999999999999</v>
      </c>
      <c r="AI24" s="235"/>
      <c r="AJ24" s="176"/>
      <c r="AK24" s="176"/>
      <c r="AL24" s="227">
        <v>106</v>
      </c>
      <c r="AM24" s="260">
        <v>1107.17</v>
      </c>
      <c r="AN24" s="172">
        <f t="shared" si="12"/>
        <v>10.445</v>
      </c>
      <c r="AO24" s="258">
        <f t="shared" si="10"/>
        <v>26446.001500000006</v>
      </c>
    </row>
    <row r="25" spans="1:41" ht="20.100000000000001" customHeight="1" x14ac:dyDescent="0.25">
      <c r="A25" s="283">
        <v>20</v>
      </c>
      <c r="B25" s="164">
        <v>85</v>
      </c>
      <c r="C25" s="165">
        <v>95</v>
      </c>
      <c r="D25" s="176">
        <v>85</v>
      </c>
      <c r="E25" s="176"/>
      <c r="F25" s="165">
        <v>288</v>
      </c>
      <c r="G25" s="176"/>
      <c r="H25" s="52">
        <f t="shared" si="1"/>
        <v>204.20000000000002</v>
      </c>
      <c r="I25" s="177">
        <v>17793.390000000003</v>
      </c>
      <c r="J25" s="94">
        <f t="shared" si="2"/>
        <v>87.137071498530858</v>
      </c>
      <c r="K25" s="229">
        <v>1587.04</v>
      </c>
      <c r="L25" s="279">
        <f t="shared" si="3"/>
        <v>7.7719882468168455</v>
      </c>
      <c r="M25" s="280">
        <f t="shared" si="4"/>
        <v>94.909059745347705</v>
      </c>
      <c r="N25" s="175">
        <v>41</v>
      </c>
      <c r="O25" s="177">
        <v>2152.7649999999999</v>
      </c>
      <c r="P25" s="279">
        <f t="shared" si="5"/>
        <v>52.50646341463414</v>
      </c>
      <c r="Q25" s="296"/>
      <c r="R25" s="273"/>
      <c r="S25" s="273"/>
      <c r="T25" s="271">
        <f t="shared" si="6"/>
        <v>0</v>
      </c>
      <c r="U25" s="273"/>
      <c r="V25" s="289" t="e">
        <f t="shared" si="7"/>
        <v>#DIV/0!</v>
      </c>
      <c r="W25" s="239">
        <v>280</v>
      </c>
      <c r="X25" s="239">
        <v>17231.86</v>
      </c>
      <c r="Y25" s="270">
        <f t="shared" si="8"/>
        <v>61.542357142857142</v>
      </c>
      <c r="Z25" s="176">
        <v>183</v>
      </c>
      <c r="AA25" s="177">
        <v>2341.8399999999997</v>
      </c>
      <c r="AB25" s="271">
        <f t="shared" si="11"/>
        <v>12.79693989071038</v>
      </c>
      <c r="AC25" s="176">
        <v>15</v>
      </c>
      <c r="AD25" s="176">
        <v>96.24</v>
      </c>
      <c r="AE25" s="282">
        <f t="shared" si="9"/>
        <v>6.4159999999999995</v>
      </c>
      <c r="AF25" s="175"/>
      <c r="AG25" s="52">
        <f t="shared" si="0"/>
        <v>0</v>
      </c>
      <c r="AH25" s="176"/>
      <c r="AI25" s="235"/>
      <c r="AJ25" s="176">
        <v>280.36</v>
      </c>
      <c r="AK25" s="176"/>
      <c r="AL25" s="227">
        <v>106</v>
      </c>
      <c r="AM25" s="260">
        <v>1027.01</v>
      </c>
      <c r="AN25" s="172">
        <f t="shared" si="12"/>
        <v>9.6887735849056611</v>
      </c>
      <c r="AO25" s="258">
        <f t="shared" si="10"/>
        <v>42510.505000000005</v>
      </c>
    </row>
    <row r="26" spans="1:41" ht="20.100000000000001" customHeight="1" x14ac:dyDescent="0.25">
      <c r="A26" s="283">
        <v>21</v>
      </c>
      <c r="B26" s="164">
        <v>85</v>
      </c>
      <c r="C26" s="165">
        <v>95</v>
      </c>
      <c r="D26" s="176">
        <v>84</v>
      </c>
      <c r="E26" s="176"/>
      <c r="F26" s="165">
        <v>433</v>
      </c>
      <c r="G26" s="176"/>
      <c r="H26" s="52">
        <f t="shared" si="1"/>
        <v>261.8</v>
      </c>
      <c r="I26" s="177">
        <v>18091.307600000004</v>
      </c>
      <c r="J26" s="94">
        <f t="shared" si="2"/>
        <v>69.103543162719646</v>
      </c>
      <c r="K26" s="241">
        <v>3551.71</v>
      </c>
      <c r="L26" s="279">
        <f t="shared" si="3"/>
        <v>13.566501145912911</v>
      </c>
      <c r="M26" s="280">
        <f t="shared" si="4"/>
        <v>82.670044308632555</v>
      </c>
      <c r="N26" s="175">
        <v>40</v>
      </c>
      <c r="O26" s="177">
        <v>2064.9609999999998</v>
      </c>
      <c r="P26" s="279">
        <f t="shared" si="5"/>
        <v>51.624024999999996</v>
      </c>
      <c r="Q26" s="296"/>
      <c r="R26" s="273"/>
      <c r="S26" s="273"/>
      <c r="T26" s="271">
        <f t="shared" si="6"/>
        <v>0</v>
      </c>
      <c r="U26" s="273"/>
      <c r="V26" s="289" t="e">
        <f t="shared" si="7"/>
        <v>#DIV/0!</v>
      </c>
      <c r="W26" s="239"/>
      <c r="X26" s="239"/>
      <c r="Y26" s="270" t="e">
        <f t="shared" si="8"/>
        <v>#DIV/0!</v>
      </c>
      <c r="Z26" s="176">
        <v>9</v>
      </c>
      <c r="AA26" s="177">
        <v>123.13</v>
      </c>
      <c r="AB26" s="271">
        <f t="shared" si="11"/>
        <v>13.681111111111111</v>
      </c>
      <c r="AC26" s="176">
        <v>15</v>
      </c>
      <c r="AD26" s="176">
        <v>96.24</v>
      </c>
      <c r="AE26" s="282">
        <f t="shared" si="9"/>
        <v>6.4159999999999995</v>
      </c>
      <c r="AF26" s="175">
        <v>921.51</v>
      </c>
      <c r="AG26" s="52">
        <f t="shared" si="0"/>
        <v>3.0533797216699798</v>
      </c>
      <c r="AH26" s="176"/>
      <c r="AI26" s="235"/>
      <c r="AJ26" s="176"/>
      <c r="AK26" s="176"/>
      <c r="AL26" s="227">
        <v>106</v>
      </c>
      <c r="AM26" s="260">
        <v>1199.29</v>
      </c>
      <c r="AN26" s="172">
        <f t="shared" si="12"/>
        <v>11.314056603773585</v>
      </c>
      <c r="AO26" s="258">
        <f t="shared" si="10"/>
        <v>26048.148600000004</v>
      </c>
    </row>
    <row r="27" spans="1:41" ht="20.100000000000001" customHeight="1" x14ac:dyDescent="0.25">
      <c r="A27" s="283">
        <v>22</v>
      </c>
      <c r="B27" s="164">
        <v>200</v>
      </c>
      <c r="C27" s="165">
        <v>210</v>
      </c>
      <c r="D27" s="176">
        <v>205</v>
      </c>
      <c r="E27" s="176"/>
      <c r="F27" s="165">
        <v>463</v>
      </c>
      <c r="G27" s="176"/>
      <c r="H27" s="52">
        <f t="shared" si="1"/>
        <v>391.20000000000005</v>
      </c>
      <c r="I27" s="177">
        <v>22510.415000000005</v>
      </c>
      <c r="J27" s="94">
        <f t="shared" si="2"/>
        <v>57.541960633946836</v>
      </c>
      <c r="K27" s="229">
        <v>1712.5000000000005</v>
      </c>
      <c r="L27" s="279">
        <f t="shared" si="3"/>
        <v>4.3775562372188146</v>
      </c>
      <c r="M27" s="280">
        <f t="shared" si="4"/>
        <v>61.919516871165648</v>
      </c>
      <c r="N27" s="175">
        <v>40</v>
      </c>
      <c r="O27" s="177">
        <v>2508.4650000000001</v>
      </c>
      <c r="P27" s="279">
        <f t="shared" si="5"/>
        <v>62.711625000000005</v>
      </c>
      <c r="Q27" s="110"/>
      <c r="R27" s="110"/>
      <c r="S27" s="110"/>
      <c r="T27" s="271">
        <f t="shared" si="6"/>
        <v>0</v>
      </c>
      <c r="U27" s="273"/>
      <c r="V27" s="289" t="e">
        <f t="shared" si="7"/>
        <v>#DIV/0!</v>
      </c>
      <c r="W27" s="239"/>
      <c r="X27" s="239"/>
      <c r="Y27" s="270" t="e">
        <f t="shared" si="8"/>
        <v>#DIV/0!</v>
      </c>
      <c r="Z27" s="176">
        <v>28</v>
      </c>
      <c r="AA27" s="177">
        <v>425.38</v>
      </c>
      <c r="AB27" s="271">
        <f t="shared" si="11"/>
        <v>15.192142857142857</v>
      </c>
      <c r="AC27" s="176">
        <v>82</v>
      </c>
      <c r="AD27" s="176">
        <v>568.66</v>
      </c>
      <c r="AE27" s="282">
        <f t="shared" si="9"/>
        <v>6.9348780487804875</v>
      </c>
      <c r="AF27" s="175">
        <v>6</v>
      </c>
      <c r="AG27" s="52">
        <f t="shared" si="0"/>
        <v>1.3914656771799627E-2</v>
      </c>
      <c r="AH27" s="176"/>
      <c r="AI27" s="235"/>
      <c r="AJ27" s="176"/>
      <c r="AK27" s="176"/>
      <c r="AL27" s="227">
        <v>106</v>
      </c>
      <c r="AM27" s="260">
        <v>1021.24</v>
      </c>
      <c r="AN27" s="172">
        <f t="shared" si="12"/>
        <v>9.6343396226415088</v>
      </c>
      <c r="AO27" s="258">
        <f t="shared" si="10"/>
        <v>28752.660000000003</v>
      </c>
    </row>
    <row r="28" spans="1:41" ht="20.100000000000001" customHeight="1" x14ac:dyDescent="0.25">
      <c r="A28" s="283">
        <v>23</v>
      </c>
      <c r="B28" s="164">
        <v>199</v>
      </c>
      <c r="C28" s="165">
        <v>209</v>
      </c>
      <c r="D28" s="165">
        <v>203</v>
      </c>
      <c r="E28" s="176"/>
      <c r="F28" s="165">
        <v>500</v>
      </c>
      <c r="G28" s="176"/>
      <c r="H28" s="52">
        <f t="shared" si="1"/>
        <v>404.6</v>
      </c>
      <c r="I28" s="177">
        <v>23264.600000000002</v>
      </c>
      <c r="J28" s="94">
        <f t="shared" si="2"/>
        <v>57.500247157686609</v>
      </c>
      <c r="K28" s="241">
        <v>1434.89</v>
      </c>
      <c r="L28" s="279">
        <f t="shared" si="3"/>
        <v>3.5464409293129018</v>
      </c>
      <c r="M28" s="280">
        <f t="shared" si="4"/>
        <v>61.046688086999509</v>
      </c>
      <c r="N28" s="175">
        <v>40</v>
      </c>
      <c r="O28" s="177">
        <v>2021.7149999999997</v>
      </c>
      <c r="P28" s="279">
        <f t="shared" si="5"/>
        <v>50.542874999999995</v>
      </c>
      <c r="Q28" s="110"/>
      <c r="R28" s="110"/>
      <c r="S28" s="110"/>
      <c r="T28" s="271">
        <f t="shared" si="6"/>
        <v>0</v>
      </c>
      <c r="U28" s="273"/>
      <c r="V28" s="289" t="e">
        <f t="shared" si="7"/>
        <v>#DIV/0!</v>
      </c>
      <c r="W28" s="239"/>
      <c r="X28" s="239"/>
      <c r="Y28" s="270" t="e">
        <f t="shared" si="8"/>
        <v>#DIV/0!</v>
      </c>
      <c r="Z28" s="176">
        <v>22</v>
      </c>
      <c r="AA28" s="177">
        <v>271.68</v>
      </c>
      <c r="AB28" s="271">
        <f t="shared" si="11"/>
        <v>12.34909090909091</v>
      </c>
      <c r="AC28" s="176">
        <v>19</v>
      </c>
      <c r="AD28" s="176">
        <v>128.32</v>
      </c>
      <c r="AE28" s="282">
        <f t="shared" si="9"/>
        <v>6.7536842105263153</v>
      </c>
      <c r="AF28" s="175">
        <v>674</v>
      </c>
      <c r="AG28" s="52">
        <f t="shared" si="0"/>
        <v>1.5159694107062527</v>
      </c>
      <c r="AH28" s="176">
        <v>398.34</v>
      </c>
      <c r="AI28" s="235"/>
      <c r="AJ28" s="176"/>
      <c r="AK28" s="176"/>
      <c r="AL28" s="227">
        <v>106</v>
      </c>
      <c r="AM28" s="260">
        <v>1067.6799999999998</v>
      </c>
      <c r="AN28" s="172">
        <f t="shared" si="12"/>
        <v>10.072452830188677</v>
      </c>
      <c r="AO28" s="258">
        <f t="shared" si="10"/>
        <v>29261.225000000002</v>
      </c>
    </row>
    <row r="29" spans="1:41" ht="20.100000000000001" customHeight="1" x14ac:dyDescent="0.25">
      <c r="A29" s="283">
        <v>24</v>
      </c>
      <c r="B29" s="164">
        <v>198</v>
      </c>
      <c r="C29" s="165">
        <v>210</v>
      </c>
      <c r="D29" s="165">
        <v>204</v>
      </c>
      <c r="E29" s="176"/>
      <c r="F29" s="165">
        <v>476</v>
      </c>
      <c r="G29" s="176"/>
      <c r="H29" s="52">
        <f t="shared" si="1"/>
        <v>395.6</v>
      </c>
      <c r="I29" s="177">
        <v>23819.334999999999</v>
      </c>
      <c r="J29" s="94">
        <f t="shared" si="2"/>
        <v>60.210654701718902</v>
      </c>
      <c r="K29" s="229">
        <v>2362.94</v>
      </c>
      <c r="L29" s="279">
        <f t="shared" si="3"/>
        <v>5.9730535894843273</v>
      </c>
      <c r="M29" s="280">
        <f t="shared" si="4"/>
        <v>66.183708291203232</v>
      </c>
      <c r="N29" s="175">
        <v>40</v>
      </c>
      <c r="O29" s="177">
        <v>2142.3750000000005</v>
      </c>
      <c r="P29" s="279">
        <f t="shared" si="5"/>
        <v>53.55937500000001</v>
      </c>
      <c r="Q29" s="110"/>
      <c r="R29" s="110"/>
      <c r="S29" s="110"/>
      <c r="T29" s="271">
        <f t="shared" si="6"/>
        <v>0</v>
      </c>
      <c r="U29" s="273"/>
      <c r="V29" s="289" t="e">
        <f t="shared" si="7"/>
        <v>#DIV/0!</v>
      </c>
      <c r="W29" s="239"/>
      <c r="X29" s="239"/>
      <c r="Y29" s="270" t="e">
        <f t="shared" si="8"/>
        <v>#DIV/0!</v>
      </c>
      <c r="Z29" s="176">
        <v>22</v>
      </c>
      <c r="AA29" s="177">
        <v>300.92</v>
      </c>
      <c r="AB29" s="271">
        <f t="shared" si="11"/>
        <v>13.67818181818182</v>
      </c>
      <c r="AC29" s="176">
        <v>24</v>
      </c>
      <c r="AD29" s="176">
        <v>164.57000000000002</v>
      </c>
      <c r="AE29" s="282">
        <f t="shared" si="9"/>
        <v>6.8570833333333345</v>
      </c>
      <c r="AF29" s="175"/>
      <c r="AG29" s="52">
        <f t="shared" si="0"/>
        <v>0</v>
      </c>
      <c r="AH29" s="176"/>
      <c r="AI29" s="235"/>
      <c r="AJ29" s="176"/>
      <c r="AK29" s="176"/>
      <c r="AL29" s="227">
        <v>106</v>
      </c>
      <c r="AM29" s="260">
        <v>1061.4499999999998</v>
      </c>
      <c r="AN29" s="172">
        <f t="shared" si="12"/>
        <v>10.013679245283017</v>
      </c>
      <c r="AO29" s="258">
        <f t="shared" si="10"/>
        <v>29851.59</v>
      </c>
    </row>
    <row r="30" spans="1:41" ht="20.100000000000001" customHeight="1" x14ac:dyDescent="0.25">
      <c r="A30" s="283">
        <v>25</v>
      </c>
      <c r="B30" s="164">
        <v>197</v>
      </c>
      <c r="C30" s="165">
        <v>208</v>
      </c>
      <c r="D30" s="165">
        <v>203</v>
      </c>
      <c r="E30" s="176"/>
      <c r="F30" s="165">
        <v>474</v>
      </c>
      <c r="G30" s="176"/>
      <c r="H30" s="52">
        <f t="shared" ref="H30:H31" si="13">B30*0.2+SUM(C30:F30)*0.4</f>
        <v>393.4</v>
      </c>
      <c r="I30" s="177">
        <v>21015.915000000001</v>
      </c>
      <c r="J30" s="94">
        <f t="shared" si="2"/>
        <v>53.421237925775294</v>
      </c>
      <c r="K30" s="261">
        <v>1713.01</v>
      </c>
      <c r="L30" s="279">
        <f t="shared" si="3"/>
        <v>4.3543721403152009</v>
      </c>
      <c r="M30" s="280">
        <f t="shared" si="4"/>
        <v>57.775610066090493</v>
      </c>
      <c r="N30" s="175">
        <v>41</v>
      </c>
      <c r="O30" s="177">
        <v>2230.8849999999998</v>
      </c>
      <c r="P30" s="279">
        <f t="shared" si="5"/>
        <v>54.411829268292678</v>
      </c>
      <c r="Q30" s="298">
        <v>2</v>
      </c>
      <c r="R30" s="297">
        <v>2</v>
      </c>
      <c r="S30" s="297">
        <v>2</v>
      </c>
      <c r="T30" s="271">
        <f t="shared" si="6"/>
        <v>2</v>
      </c>
      <c r="U30" s="273">
        <v>92.45</v>
      </c>
      <c r="V30" s="289">
        <f t="shared" si="7"/>
        <v>46.225000000000001</v>
      </c>
      <c r="W30" s="239"/>
      <c r="X30" s="239"/>
      <c r="Y30" s="270" t="e">
        <f t="shared" si="8"/>
        <v>#DIV/0!</v>
      </c>
      <c r="Z30" s="176">
        <v>11</v>
      </c>
      <c r="AA30" s="177">
        <v>96.24</v>
      </c>
      <c r="AB30" s="271">
        <f t="shared" si="11"/>
        <v>8.7490909090909081</v>
      </c>
      <c r="AC30" s="176">
        <v>123</v>
      </c>
      <c r="AD30" s="176">
        <v>798.42</v>
      </c>
      <c r="AE30" s="282">
        <f t="shared" si="9"/>
        <v>6.4912195121951219</v>
      </c>
      <c r="AF30" s="175">
        <v>322.89999999999998</v>
      </c>
      <c r="AG30" s="52">
        <f t="shared" si="0"/>
        <v>0.74332412523020253</v>
      </c>
      <c r="AH30" s="176"/>
      <c r="AI30" s="235"/>
      <c r="AJ30" s="235"/>
      <c r="AK30" s="176"/>
      <c r="AL30" s="227">
        <v>106</v>
      </c>
      <c r="AM30" s="260">
        <v>1175.4899999999998</v>
      </c>
      <c r="AN30" s="172">
        <f t="shared" si="12"/>
        <v>11.089528301886791</v>
      </c>
      <c r="AO30" s="258">
        <f t="shared" si="10"/>
        <v>27445.31</v>
      </c>
    </row>
    <row r="31" spans="1:41" ht="20.100000000000001" customHeight="1" x14ac:dyDescent="0.25">
      <c r="A31" s="283">
        <v>26</v>
      </c>
      <c r="B31" s="164">
        <v>196</v>
      </c>
      <c r="C31" s="165">
        <v>207</v>
      </c>
      <c r="D31" s="165">
        <v>202</v>
      </c>
      <c r="E31" s="176"/>
      <c r="F31" s="165">
        <v>455</v>
      </c>
      <c r="G31" s="176"/>
      <c r="H31" s="52">
        <f t="shared" si="13"/>
        <v>384.8</v>
      </c>
      <c r="I31" s="177">
        <v>23647.81</v>
      </c>
      <c r="J31" s="94">
        <f t="shared" si="2"/>
        <v>61.454807692307696</v>
      </c>
      <c r="K31" s="261">
        <v>1748.6799999999998</v>
      </c>
      <c r="L31" s="279">
        <f t="shared" si="3"/>
        <v>4.5443866943866942</v>
      </c>
      <c r="M31" s="280">
        <f t="shared" si="4"/>
        <v>65.999194386694384</v>
      </c>
      <c r="N31" s="175">
        <v>41</v>
      </c>
      <c r="O31" s="177">
        <v>2150.5950000000003</v>
      </c>
      <c r="P31" s="279">
        <f t="shared" si="5"/>
        <v>52.45353658536586</v>
      </c>
      <c r="Q31" s="298">
        <v>1</v>
      </c>
      <c r="R31" s="297">
        <v>1</v>
      </c>
      <c r="S31" s="297">
        <v>1</v>
      </c>
      <c r="T31" s="271">
        <f t="shared" si="6"/>
        <v>1</v>
      </c>
      <c r="U31" s="273">
        <v>52.44</v>
      </c>
      <c r="V31" s="289">
        <f t="shared" si="7"/>
        <v>52.44</v>
      </c>
      <c r="W31" s="239"/>
      <c r="X31" s="239"/>
      <c r="Y31" s="270" t="e">
        <f t="shared" si="8"/>
        <v>#DIV/0!</v>
      </c>
      <c r="Z31" s="176">
        <v>13</v>
      </c>
      <c r="AA31" s="177">
        <v>77.400000000000006</v>
      </c>
      <c r="AB31" s="271">
        <f t="shared" si="11"/>
        <v>5.953846153846154</v>
      </c>
      <c r="AC31" s="176">
        <v>121</v>
      </c>
      <c r="AD31" s="176">
        <v>883.23</v>
      </c>
      <c r="AE31" s="282">
        <f t="shared" si="9"/>
        <v>7.2994214876033059</v>
      </c>
      <c r="AF31" s="175">
        <v>394.3</v>
      </c>
      <c r="AG31" s="52">
        <f t="shared" si="0"/>
        <v>0.92602160638797559</v>
      </c>
      <c r="AH31" s="176">
        <v>330.89</v>
      </c>
      <c r="AI31" s="235"/>
      <c r="AJ31" s="235"/>
      <c r="AK31" s="176"/>
      <c r="AL31" s="227">
        <v>106</v>
      </c>
      <c r="AM31" s="260">
        <v>1076.8</v>
      </c>
      <c r="AN31" s="172">
        <f t="shared" si="12"/>
        <v>10.158490566037736</v>
      </c>
      <c r="AO31" s="258">
        <f t="shared" si="10"/>
        <v>30362.145</v>
      </c>
    </row>
    <row r="32" spans="1:41" ht="20.100000000000001" customHeight="1" x14ac:dyDescent="0.25">
      <c r="A32" s="283">
        <v>27</v>
      </c>
      <c r="B32" s="164">
        <v>85</v>
      </c>
      <c r="C32" s="165">
        <v>95</v>
      </c>
      <c r="D32" s="176">
        <v>126</v>
      </c>
      <c r="E32" s="176"/>
      <c r="F32" s="165">
        <v>443</v>
      </c>
      <c r="G32" s="176"/>
      <c r="H32" s="52">
        <f t="shared" si="1"/>
        <v>282.60000000000002</v>
      </c>
      <c r="I32" s="177">
        <v>15483.524999999994</v>
      </c>
      <c r="J32" s="94">
        <f t="shared" si="2"/>
        <v>54.789543524416111</v>
      </c>
      <c r="K32" s="261">
        <v>2057.0600000000004</v>
      </c>
      <c r="L32" s="279">
        <f t="shared" si="3"/>
        <v>7.2790516631280973</v>
      </c>
      <c r="M32" s="280">
        <f t="shared" si="4"/>
        <v>62.068595187544211</v>
      </c>
      <c r="N32" s="175">
        <v>41</v>
      </c>
      <c r="O32" s="177">
        <v>2535.91</v>
      </c>
      <c r="P32" s="279">
        <f t="shared" si="5"/>
        <v>61.851463414634139</v>
      </c>
      <c r="Q32" s="298">
        <v>1</v>
      </c>
      <c r="R32" s="297">
        <v>1</v>
      </c>
      <c r="S32" s="297">
        <v>1</v>
      </c>
      <c r="T32" s="271">
        <f t="shared" si="6"/>
        <v>1</v>
      </c>
      <c r="U32" s="273">
        <v>60.95</v>
      </c>
      <c r="V32" s="289">
        <f t="shared" si="7"/>
        <v>60.95</v>
      </c>
      <c r="W32" s="239"/>
      <c r="X32" s="239"/>
      <c r="Y32" s="270" t="e">
        <f t="shared" si="8"/>
        <v>#DIV/0!</v>
      </c>
      <c r="Z32" s="176">
        <v>8</v>
      </c>
      <c r="AA32" s="177">
        <v>103.19</v>
      </c>
      <c r="AB32" s="271">
        <f t="shared" si="11"/>
        <v>12.89875</v>
      </c>
      <c r="AC32" s="176">
        <v>29</v>
      </c>
      <c r="AD32" s="176">
        <v>200.88</v>
      </c>
      <c r="AE32" s="282">
        <f t="shared" si="9"/>
        <v>6.9268965517241377</v>
      </c>
      <c r="AF32" s="175">
        <v>665.2</v>
      </c>
      <c r="AG32" s="52">
        <f t="shared" si="0"/>
        <v>2.0556242274412857</v>
      </c>
      <c r="AH32" s="176"/>
      <c r="AI32" s="235"/>
      <c r="AJ32" s="235"/>
      <c r="AK32" s="176">
        <v>4131</v>
      </c>
      <c r="AL32" s="227">
        <v>106</v>
      </c>
      <c r="AM32" s="260">
        <v>1058.6599999999999</v>
      </c>
      <c r="AN32" s="172">
        <f t="shared" si="12"/>
        <v>9.9873584905660362</v>
      </c>
      <c r="AO32" s="258">
        <f t="shared" si="10"/>
        <v>26296.374999999996</v>
      </c>
    </row>
    <row r="33" spans="1:41" ht="20.100000000000001" customHeight="1" x14ac:dyDescent="0.25">
      <c r="A33" s="283">
        <v>28</v>
      </c>
      <c r="B33" s="164">
        <v>84</v>
      </c>
      <c r="C33" s="165">
        <v>94</v>
      </c>
      <c r="D33" s="176">
        <v>87</v>
      </c>
      <c r="E33" s="176"/>
      <c r="F33" s="165">
        <v>442</v>
      </c>
      <c r="G33" s="176"/>
      <c r="H33" s="52">
        <f t="shared" si="1"/>
        <v>266</v>
      </c>
      <c r="I33" s="177">
        <v>16057.770000000002</v>
      </c>
      <c r="J33" s="94">
        <f t="shared" si="2"/>
        <v>60.367556390977455</v>
      </c>
      <c r="K33" s="261">
        <v>1860.8900000000003</v>
      </c>
      <c r="L33" s="279">
        <f t="shared" si="3"/>
        <v>6.9958270676691745</v>
      </c>
      <c r="M33" s="280">
        <f t="shared" si="4"/>
        <v>67.363383458646624</v>
      </c>
      <c r="N33" s="175">
        <v>41</v>
      </c>
      <c r="O33" s="177">
        <v>2121.5150000000003</v>
      </c>
      <c r="P33" s="279">
        <f t="shared" si="5"/>
        <v>51.744268292682932</v>
      </c>
      <c r="Q33" s="298">
        <v>1</v>
      </c>
      <c r="R33" s="297">
        <v>2</v>
      </c>
      <c r="S33" s="297">
        <v>2</v>
      </c>
      <c r="T33" s="271">
        <f t="shared" si="6"/>
        <v>1.8</v>
      </c>
      <c r="U33" s="273">
        <v>91.44</v>
      </c>
      <c r="V33" s="289">
        <f t="shared" si="7"/>
        <v>50.8</v>
      </c>
      <c r="W33" s="239">
        <v>70</v>
      </c>
      <c r="X33" s="239">
        <v>3482.26</v>
      </c>
      <c r="Y33" s="270">
        <f t="shared" si="8"/>
        <v>49.746571428571428</v>
      </c>
      <c r="Z33" s="176">
        <v>23</v>
      </c>
      <c r="AA33" s="176">
        <v>337.04</v>
      </c>
      <c r="AB33" s="271">
        <f t="shared" si="11"/>
        <v>14.653913043478262</v>
      </c>
      <c r="AC33" s="176">
        <v>29</v>
      </c>
      <c r="AD33" s="176">
        <v>197.17000000000002</v>
      </c>
      <c r="AE33" s="282">
        <f t="shared" si="9"/>
        <v>6.7989655172413794</v>
      </c>
      <c r="AF33" s="175"/>
      <c r="AG33" s="52">
        <f t="shared" si="0"/>
        <v>0</v>
      </c>
      <c r="AH33" s="176"/>
      <c r="AI33" s="235"/>
      <c r="AJ33" s="176"/>
      <c r="AK33" s="176"/>
      <c r="AL33" s="227">
        <v>106</v>
      </c>
      <c r="AM33" s="260">
        <v>1200.05</v>
      </c>
      <c r="AN33" s="172">
        <f t="shared" si="12"/>
        <v>11.321226415094339</v>
      </c>
      <c r="AO33" s="258">
        <f t="shared" si="10"/>
        <v>25348.135000000002</v>
      </c>
    </row>
    <row r="34" spans="1:41" ht="20.100000000000001" customHeight="1" x14ac:dyDescent="0.25">
      <c r="A34" s="283">
        <v>29</v>
      </c>
      <c r="B34" s="164">
        <v>200</v>
      </c>
      <c r="C34" s="165">
        <v>210</v>
      </c>
      <c r="D34" s="176">
        <v>299</v>
      </c>
      <c r="E34" s="176"/>
      <c r="F34" s="165">
        <v>473</v>
      </c>
      <c r="G34" s="176"/>
      <c r="H34" s="52">
        <f t="shared" si="1"/>
        <v>432.8</v>
      </c>
      <c r="I34" s="177">
        <v>25776.950000000004</v>
      </c>
      <c r="J34" s="94">
        <f t="shared" si="2"/>
        <v>59.558572088724596</v>
      </c>
      <c r="K34" s="261">
        <v>2489.9499999999998</v>
      </c>
      <c r="L34" s="279">
        <f t="shared" si="3"/>
        <v>5.7531192236598887</v>
      </c>
      <c r="M34" s="280">
        <f t="shared" si="4"/>
        <v>65.311691312384482</v>
      </c>
      <c r="N34" s="175">
        <v>42</v>
      </c>
      <c r="O34" s="177">
        <v>1777.2799999999997</v>
      </c>
      <c r="P34" s="279">
        <f t="shared" si="5"/>
        <v>42.316190476190471</v>
      </c>
      <c r="Q34" s="298">
        <v>2</v>
      </c>
      <c r="R34" s="297">
        <v>2</v>
      </c>
      <c r="S34" s="297">
        <v>2</v>
      </c>
      <c r="T34" s="271">
        <f t="shared" si="6"/>
        <v>2</v>
      </c>
      <c r="U34" s="273">
        <v>119.15</v>
      </c>
      <c r="V34" s="289">
        <f t="shared" si="7"/>
        <v>59.575000000000003</v>
      </c>
      <c r="W34" s="239"/>
      <c r="X34" s="239"/>
      <c r="Y34" s="270" t="e">
        <f t="shared" si="8"/>
        <v>#DIV/0!</v>
      </c>
      <c r="Z34" s="176">
        <v>32</v>
      </c>
      <c r="AA34" s="177">
        <v>437.95</v>
      </c>
      <c r="AB34" s="271">
        <f t="shared" si="11"/>
        <v>13.6859375</v>
      </c>
      <c r="AC34" s="176">
        <v>256</v>
      </c>
      <c r="AD34" s="176">
        <v>1307.3399999999999</v>
      </c>
      <c r="AE34" s="282">
        <f t="shared" si="9"/>
        <v>5.1067968749999997</v>
      </c>
      <c r="AF34" s="175">
        <v>307.62</v>
      </c>
      <c r="AG34" s="52">
        <f t="shared" si="0"/>
        <v>0.64789385004212297</v>
      </c>
      <c r="AH34" s="176">
        <v>90.6</v>
      </c>
      <c r="AI34" s="235"/>
      <c r="AJ34" s="176"/>
      <c r="AK34" s="176"/>
      <c r="AL34" s="227">
        <v>106</v>
      </c>
      <c r="AM34" s="260">
        <v>1078.5</v>
      </c>
      <c r="AN34" s="172">
        <f t="shared" si="12"/>
        <v>10.174528301886792</v>
      </c>
      <c r="AO34" s="258">
        <f t="shared" si="10"/>
        <v>33385.340000000004</v>
      </c>
    </row>
    <row r="35" spans="1:41" ht="20.100000000000001" customHeight="1" x14ac:dyDescent="0.25">
      <c r="A35" s="283">
        <v>30</v>
      </c>
      <c r="B35" s="164">
        <v>198</v>
      </c>
      <c r="C35" s="165">
        <v>209</v>
      </c>
      <c r="D35" s="176">
        <v>298</v>
      </c>
      <c r="E35" s="176"/>
      <c r="F35" s="165">
        <v>471</v>
      </c>
      <c r="G35" s="185"/>
      <c r="H35" s="52">
        <f t="shared" ref="H35" si="14">B35*0.2+SUM(C35:F35)*0.4</f>
        <v>430.80000000000007</v>
      </c>
      <c r="I35" s="177">
        <v>25741.730519999997</v>
      </c>
      <c r="J35" s="94">
        <f t="shared" si="2"/>
        <v>59.753320612813354</v>
      </c>
      <c r="K35" s="261">
        <v>2861.36</v>
      </c>
      <c r="L35" s="279">
        <f t="shared" si="3"/>
        <v>6.6419684308263687</v>
      </c>
      <c r="M35" s="280">
        <f t="shared" si="4"/>
        <v>66.395289043639721</v>
      </c>
      <c r="N35" s="175">
        <v>42</v>
      </c>
      <c r="O35" s="177">
        <v>2270.4714000000008</v>
      </c>
      <c r="P35" s="279">
        <f t="shared" si="5"/>
        <v>54.058842857142878</v>
      </c>
      <c r="Q35" s="298">
        <v>1</v>
      </c>
      <c r="R35" s="297">
        <v>1</v>
      </c>
      <c r="S35" s="297">
        <v>1</v>
      </c>
      <c r="T35" s="271">
        <f t="shared" si="6"/>
        <v>1</v>
      </c>
      <c r="U35" s="273">
        <v>68.3</v>
      </c>
      <c r="V35" s="289">
        <f t="shared" si="7"/>
        <v>68.3</v>
      </c>
      <c r="W35" s="239"/>
      <c r="X35" s="239"/>
      <c r="Y35" s="270" t="e">
        <f t="shared" si="8"/>
        <v>#DIV/0!</v>
      </c>
      <c r="Z35" s="176">
        <v>31</v>
      </c>
      <c r="AA35" s="177">
        <v>399</v>
      </c>
      <c r="AB35" s="271">
        <f t="shared" si="11"/>
        <v>12.870967741935484</v>
      </c>
      <c r="AC35" s="176">
        <v>123</v>
      </c>
      <c r="AD35" s="176">
        <v>834.07999999999993</v>
      </c>
      <c r="AE35" s="282">
        <f t="shared" si="9"/>
        <v>6.781138211382113</v>
      </c>
      <c r="AF35" s="175">
        <v>474</v>
      </c>
      <c r="AG35" s="52">
        <f t="shared" si="0"/>
        <v>1.0025380710659897</v>
      </c>
      <c r="AH35" s="185">
        <v>321.99</v>
      </c>
      <c r="AI35" s="251"/>
      <c r="AJ35" s="176">
        <v>47.5</v>
      </c>
      <c r="AK35" s="176"/>
      <c r="AL35" s="227">
        <v>106</v>
      </c>
      <c r="AM35" s="260">
        <v>1042.1599999999999</v>
      </c>
      <c r="AN35" s="172">
        <f t="shared" si="12"/>
        <v>9.8316981132075458</v>
      </c>
      <c r="AO35" s="258">
        <f t="shared" si="10"/>
        <v>34060.591919999999</v>
      </c>
    </row>
    <row r="36" spans="1:41" ht="20.100000000000001" customHeight="1" thickBot="1" x14ac:dyDescent="0.3">
      <c r="A36" s="283">
        <v>31</v>
      </c>
      <c r="B36" s="175">
        <v>199</v>
      </c>
      <c r="C36" s="176">
        <v>208</v>
      </c>
      <c r="D36" s="176">
        <v>248</v>
      </c>
      <c r="E36" s="176"/>
      <c r="F36" s="165">
        <v>474</v>
      </c>
      <c r="G36" s="185"/>
      <c r="H36" s="52">
        <f t="shared" si="1"/>
        <v>411.8</v>
      </c>
      <c r="I36" s="187">
        <v>27515.495800000001</v>
      </c>
      <c r="J36" s="94">
        <f t="shared" si="2"/>
        <v>66.817619718309857</v>
      </c>
      <c r="K36" s="262">
        <v>2067.5699999999997</v>
      </c>
      <c r="L36" s="279">
        <f t="shared" si="3"/>
        <v>5.0208110733365707</v>
      </c>
      <c r="M36" s="280">
        <f t="shared" ref="M36" si="15">+(I36+K36)/H36</f>
        <v>71.838430791646431</v>
      </c>
      <c r="N36" s="175">
        <v>42</v>
      </c>
      <c r="O36" s="177">
        <v>2489.6999999999998</v>
      </c>
      <c r="P36" s="279">
        <f t="shared" si="5"/>
        <v>59.278571428571425</v>
      </c>
      <c r="Q36" s="298">
        <v>1</v>
      </c>
      <c r="R36" s="297">
        <v>1</v>
      </c>
      <c r="S36" s="297">
        <v>1</v>
      </c>
      <c r="T36" s="271">
        <f t="shared" si="6"/>
        <v>1</v>
      </c>
      <c r="U36" s="273">
        <v>45</v>
      </c>
      <c r="V36" s="289">
        <f t="shared" si="7"/>
        <v>45</v>
      </c>
      <c r="W36" s="248"/>
      <c r="X36" s="248"/>
      <c r="Y36" s="270" t="e">
        <f t="shared" si="8"/>
        <v>#DIV/0!</v>
      </c>
      <c r="Z36" s="185">
        <v>29</v>
      </c>
      <c r="AA36" s="187">
        <v>710.65</v>
      </c>
      <c r="AB36" s="271">
        <f t="shared" si="11"/>
        <v>24.505172413793101</v>
      </c>
      <c r="AC36" s="176">
        <v>133</v>
      </c>
      <c r="AD36" s="176">
        <v>787.19</v>
      </c>
      <c r="AE36" s="282">
        <f t="shared" si="9"/>
        <v>5.9187218045112786</v>
      </c>
      <c r="AF36" s="184">
        <v>396.75</v>
      </c>
      <c r="AG36" s="52">
        <f t="shared" si="0"/>
        <v>0.87428382547377692</v>
      </c>
      <c r="AH36" s="185">
        <v>304.32</v>
      </c>
      <c r="AI36" s="251"/>
      <c r="AJ36" s="176"/>
      <c r="AK36" s="176"/>
      <c r="AL36" s="227">
        <v>106</v>
      </c>
      <c r="AM36" s="260">
        <v>1067.915</v>
      </c>
      <c r="AN36" s="172">
        <f t="shared" si="12"/>
        <v>10.074669811320755</v>
      </c>
      <c r="AO36" s="258">
        <f t="shared" si="10"/>
        <v>35384.590799999998</v>
      </c>
    </row>
    <row r="37" spans="1:41" ht="26.25" thickBot="1" x14ac:dyDescent="0.3">
      <c r="A37" s="202" t="s">
        <v>77</v>
      </c>
      <c r="B37" s="195">
        <f t="shared" ref="B37:K37" si="16">SUM(B6:B36)</f>
        <v>5219</v>
      </c>
      <c r="C37" s="195">
        <f t="shared" si="16"/>
        <v>5511</v>
      </c>
      <c r="D37" s="195">
        <f t="shared" si="16"/>
        <v>7735</v>
      </c>
      <c r="E37" s="195">
        <f t="shared" si="16"/>
        <v>0</v>
      </c>
      <c r="F37" s="195">
        <f t="shared" si="16"/>
        <v>13990</v>
      </c>
      <c r="G37" s="195">
        <f t="shared" si="16"/>
        <v>0</v>
      </c>
      <c r="H37" s="275">
        <f t="shared" si="16"/>
        <v>11938.199999999999</v>
      </c>
      <c r="I37" s="195">
        <f t="shared" si="16"/>
        <v>675193.12758000009</v>
      </c>
      <c r="J37" s="275">
        <f>+I37/H37</f>
        <v>56.557364391616836</v>
      </c>
      <c r="K37" s="195">
        <f t="shared" si="16"/>
        <v>58346.469999999994</v>
      </c>
      <c r="L37" s="275">
        <f>+K37/H37</f>
        <v>4.8873758188001544</v>
      </c>
      <c r="M37" s="275">
        <f>+(I37+K37)/H37</f>
        <v>61.444740210416988</v>
      </c>
      <c r="N37" s="195">
        <f>SUM(N6:N36)</f>
        <v>1257</v>
      </c>
      <c r="O37" s="195">
        <f>SUM(O6:O36)</f>
        <v>69003.489599999972</v>
      </c>
      <c r="P37" s="285">
        <f>+O37/N37</f>
        <v>54.895377565632437</v>
      </c>
      <c r="Q37" s="195">
        <f t="shared" ref="Q37:U37" si="17">SUM(Q6:Q36)</f>
        <v>27</v>
      </c>
      <c r="R37" s="195">
        <f t="shared" si="17"/>
        <v>33</v>
      </c>
      <c r="S37" s="195">
        <f t="shared" si="17"/>
        <v>52</v>
      </c>
      <c r="T37" s="295">
        <f t="shared" si="6"/>
        <v>39.400000000000006</v>
      </c>
      <c r="U37" s="195">
        <f t="shared" si="17"/>
        <v>2019.3000000000002</v>
      </c>
      <c r="V37" s="290">
        <f>+U37/T37</f>
        <v>51.251269035532992</v>
      </c>
      <c r="W37" s="287">
        <f>SUM(W6:W36)</f>
        <v>350</v>
      </c>
      <c r="X37" s="195">
        <f>SUM(X6:X36)</f>
        <v>36181.927600000003</v>
      </c>
      <c r="Y37" s="252">
        <f>+X37/W37</f>
        <v>103.37693600000001</v>
      </c>
      <c r="Z37" s="195">
        <f>SUM(Z6:Z36)</f>
        <v>799</v>
      </c>
      <c r="AA37" s="195">
        <f>SUM(AA6:AA36)</f>
        <v>10987.020000000002</v>
      </c>
      <c r="AB37" s="275">
        <f>+AA37/Z37</f>
        <v>13.750963704630792</v>
      </c>
      <c r="AC37" s="195">
        <f>SUM(AC6:AC36)</f>
        <v>1552</v>
      </c>
      <c r="AD37" s="195">
        <f>SUM(AD6:AD36)</f>
        <v>8667.0299999999988</v>
      </c>
      <c r="AE37" s="275">
        <f>SUM(AE6:AE36)</f>
        <v>177.30740559995982</v>
      </c>
      <c r="AF37" s="195">
        <f>SUM(AF6:AF36)</f>
        <v>12784.61</v>
      </c>
      <c r="AG37" s="275">
        <f>+AF37/(N37+H37)</f>
        <v>0.96888338183581924</v>
      </c>
      <c r="AH37" s="195">
        <f t="shared" ref="AH37:AM37" si="18">SUM(AH6:AH36)</f>
        <v>8987.380000000001</v>
      </c>
      <c r="AI37" s="195">
        <f t="shared" si="18"/>
        <v>0</v>
      </c>
      <c r="AJ37" s="195">
        <f t="shared" si="18"/>
        <v>3865</v>
      </c>
      <c r="AK37" s="195">
        <f t="shared" si="18"/>
        <v>9088.2000000000007</v>
      </c>
      <c r="AL37" s="195">
        <f t="shared" si="18"/>
        <v>3286</v>
      </c>
      <c r="AM37" s="253">
        <f t="shared" si="18"/>
        <v>33986.224999999999</v>
      </c>
      <c r="AN37" s="195">
        <f>AM37/AL37</f>
        <v>10.342734327449786</v>
      </c>
      <c r="AO37" s="203">
        <f>SUM(AO6:AO36)</f>
        <v>929109.77977999987</v>
      </c>
    </row>
    <row r="39" spans="1:41" ht="19.5" customHeight="1" x14ac:dyDescent="0.25">
      <c r="G39" s="305" t="s">
        <v>109</v>
      </c>
      <c r="H39" s="306"/>
      <c r="I39" s="306"/>
      <c r="J39" s="307"/>
      <c r="K39" s="266">
        <f>+L37</f>
        <v>4.8873758188001544</v>
      </c>
      <c r="L39" s="268"/>
    </row>
    <row r="40" spans="1:41" ht="21.75" customHeight="1" x14ac:dyDescent="0.25">
      <c r="G40" s="305" t="s">
        <v>110</v>
      </c>
      <c r="H40" s="306"/>
      <c r="I40" s="306"/>
      <c r="J40" s="307"/>
      <c r="K40" s="267">
        <v>6</v>
      </c>
      <c r="L40" s="269"/>
    </row>
  </sheetData>
  <mergeCells count="11">
    <mergeCell ref="G39:J39"/>
    <mergeCell ref="G40:J40"/>
    <mergeCell ref="A1:AO1"/>
    <mergeCell ref="A2:AO2"/>
    <mergeCell ref="A3:AO3"/>
    <mergeCell ref="B4:M4"/>
    <mergeCell ref="N4:P4"/>
    <mergeCell ref="Q4:V4"/>
    <mergeCell ref="W4:AE4"/>
    <mergeCell ref="AI4:AJ4"/>
    <mergeCell ref="AL4:AN4"/>
  </mergeCells>
  <conditionalFormatting sqref="Q24:S24">
    <cfRule type="cellIs" dxfId="7" priority="3" operator="equal">
      <formula>"MUKKADAS"</formula>
    </cfRule>
    <cfRule type="containsText" dxfId="6" priority="4" operator="containsText" text="UMAR">
      <formula>NOT(ISERROR(SEARCH("UMAR",Q24)))</formula>
    </cfRule>
  </conditionalFormatting>
  <conditionalFormatting sqref="Q27:S29">
    <cfRule type="cellIs" dxfId="5" priority="1" operator="equal">
      <formula>"MUKKADAS"</formula>
    </cfRule>
    <cfRule type="containsText" dxfId="4" priority="2" operator="containsText" text="UMAR">
      <formula>NOT(ISERROR(SEARCH("UMAR",Q27)))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8C9C-D213-4BC1-B3CD-5E90BAB5118D}">
  <dimension ref="A1:AO40"/>
  <sheetViews>
    <sheetView topLeftCell="I1" zoomScale="80" zoomScaleNormal="80" workbookViewId="0">
      <selection activeCell="AH6" sqref="AH6:AH35"/>
    </sheetView>
  </sheetViews>
  <sheetFormatPr defaultRowHeight="15" x14ac:dyDescent="0.25"/>
  <cols>
    <col min="1" max="1" width="10.5703125" style="2" bestFit="1" customWidth="1"/>
    <col min="2" max="4" width="10.140625" bestFit="1" customWidth="1"/>
    <col min="6" max="6" width="11.28515625" bestFit="1" customWidth="1"/>
    <col min="8" max="8" width="11.28515625" bestFit="1" customWidth="1"/>
    <col min="9" max="9" width="12.28515625" bestFit="1" customWidth="1"/>
    <col min="10" max="10" width="11.28515625" customWidth="1"/>
    <col min="11" max="11" width="10.85546875" bestFit="1" customWidth="1"/>
    <col min="12" max="12" width="9.85546875" customWidth="1"/>
    <col min="14" max="14" width="11.42578125" bestFit="1" customWidth="1"/>
    <col min="15" max="15" width="11.28515625" bestFit="1" customWidth="1"/>
    <col min="16" max="16" width="10.140625" bestFit="1" customWidth="1"/>
    <col min="17" max="22" width="10.140625" customWidth="1"/>
    <col min="23" max="23" width="10.140625" bestFit="1" customWidth="1"/>
    <col min="24" max="24" width="12" bestFit="1" customWidth="1"/>
    <col min="27" max="27" width="12" customWidth="1"/>
    <col min="29" max="29" width="10.140625" bestFit="1" customWidth="1"/>
    <col min="30" max="30" width="11.28515625" bestFit="1" customWidth="1"/>
    <col min="32" max="32" width="11.28515625" bestFit="1" customWidth="1"/>
    <col min="34" max="34" width="11.28515625" bestFit="1" customWidth="1"/>
    <col min="36" max="37" width="11.28515625" bestFit="1" customWidth="1"/>
    <col min="38" max="38" width="14.85546875" bestFit="1" customWidth="1"/>
    <col min="39" max="39" width="11.28515625" bestFit="1" customWidth="1"/>
    <col min="41" max="41" width="13.85546875" bestFit="1" customWidth="1"/>
  </cols>
  <sheetData>
    <row r="1" spans="1:41" ht="21.75" thickBot="1" x14ac:dyDescent="0.4">
      <c r="A1" s="308" t="s">
        <v>119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10"/>
    </row>
    <row r="2" spans="1:41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</row>
    <row r="3" spans="1:41" ht="21.75" thickBot="1" x14ac:dyDescent="0.4">
      <c r="A3" s="308" t="s">
        <v>120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</row>
    <row r="4" spans="1:41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3"/>
      <c r="N4" s="314" t="s">
        <v>62</v>
      </c>
      <c r="O4" s="315"/>
      <c r="P4" s="315"/>
      <c r="Q4" s="316" t="s">
        <v>117</v>
      </c>
      <c r="R4" s="315"/>
      <c r="S4" s="315"/>
      <c r="T4" s="315"/>
      <c r="U4" s="315"/>
      <c r="V4" s="317"/>
      <c r="W4" s="315" t="s">
        <v>65</v>
      </c>
      <c r="X4" s="315"/>
      <c r="Y4" s="315"/>
      <c r="Z4" s="315"/>
      <c r="AA4" s="315"/>
      <c r="AB4" s="315"/>
      <c r="AC4" s="315"/>
      <c r="AD4" s="315"/>
      <c r="AE4" s="318"/>
      <c r="AF4" s="263"/>
      <c r="AG4" s="264"/>
      <c r="AH4" s="264"/>
      <c r="AI4" s="319" t="s">
        <v>106</v>
      </c>
      <c r="AJ4" s="319"/>
      <c r="AK4" s="209"/>
      <c r="AL4" s="320" t="s">
        <v>67</v>
      </c>
      <c r="AM4" s="321"/>
      <c r="AN4" s="322"/>
      <c r="AO4" s="144" t="s">
        <v>68</v>
      </c>
    </row>
    <row r="5" spans="1:41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276" t="s">
        <v>69</v>
      </c>
      <c r="I5" s="277" t="s">
        <v>0</v>
      </c>
      <c r="J5" s="278" t="s">
        <v>111</v>
      </c>
      <c r="K5" s="301" t="s">
        <v>105</v>
      </c>
      <c r="L5" s="211" t="s">
        <v>112</v>
      </c>
      <c r="M5" s="150" t="s">
        <v>113</v>
      </c>
      <c r="N5" s="148" t="s">
        <v>69</v>
      </c>
      <c r="O5" s="148" t="s">
        <v>89</v>
      </c>
      <c r="P5" s="211" t="s">
        <v>91</v>
      </c>
      <c r="Q5" s="292" t="s">
        <v>2</v>
      </c>
      <c r="R5" s="293" t="s">
        <v>3</v>
      </c>
      <c r="S5" s="293" t="s">
        <v>4</v>
      </c>
      <c r="T5" s="291" t="s">
        <v>114</v>
      </c>
      <c r="U5" s="288" t="s">
        <v>115</v>
      </c>
      <c r="V5" s="294" t="s">
        <v>116</v>
      </c>
      <c r="W5" s="286" t="s">
        <v>92</v>
      </c>
      <c r="X5" s="212" t="s">
        <v>93</v>
      </c>
      <c r="Y5" s="213" t="s">
        <v>94</v>
      </c>
      <c r="Z5" s="152" t="s">
        <v>72</v>
      </c>
      <c r="AA5" s="152" t="s">
        <v>73</v>
      </c>
      <c r="AB5" s="152" t="s">
        <v>79</v>
      </c>
      <c r="AC5" s="153" t="s">
        <v>21</v>
      </c>
      <c r="AD5" s="153" t="s">
        <v>74</v>
      </c>
      <c r="AE5" s="154" t="s">
        <v>16</v>
      </c>
      <c r="AF5" s="214" t="s">
        <v>95</v>
      </c>
      <c r="AG5" s="157" t="s">
        <v>96</v>
      </c>
      <c r="AH5" s="157" t="s">
        <v>99</v>
      </c>
      <c r="AI5" s="265" t="s">
        <v>107</v>
      </c>
      <c r="AJ5" s="216" t="s">
        <v>108</v>
      </c>
      <c r="AK5" s="217" t="s">
        <v>102</v>
      </c>
      <c r="AL5" s="218" t="s">
        <v>75</v>
      </c>
      <c r="AM5" s="219" t="s">
        <v>30</v>
      </c>
      <c r="AN5" s="162" t="s">
        <v>76</v>
      </c>
      <c r="AO5" s="144" t="s">
        <v>68</v>
      </c>
    </row>
    <row r="6" spans="1:41" ht="20.100000000000001" customHeight="1" x14ac:dyDescent="0.25">
      <c r="A6" s="283">
        <v>1</v>
      </c>
      <c r="B6" s="175">
        <v>205</v>
      </c>
      <c r="C6" s="176">
        <v>210</v>
      </c>
      <c r="D6" s="176">
        <v>258</v>
      </c>
      <c r="E6" s="165"/>
      <c r="F6" s="165">
        <v>463</v>
      </c>
      <c r="G6" s="165"/>
      <c r="H6" s="52">
        <f>B6*0.2+SUM(C6:F6)*0.4</f>
        <v>413.40000000000003</v>
      </c>
      <c r="I6" s="272">
        <v>25093.75376</v>
      </c>
      <c r="J6" s="94">
        <f>+I6/H6</f>
        <v>60.700904112239954</v>
      </c>
      <c r="K6" s="240">
        <v>2373.04</v>
      </c>
      <c r="L6" s="279">
        <f>+K6/H6</f>
        <v>5.7402999516207061</v>
      </c>
      <c r="M6" s="280">
        <f>+(K6+I6)/H6</f>
        <v>66.441204063860667</v>
      </c>
      <c r="N6" s="302">
        <v>40.333333333333336</v>
      </c>
      <c r="O6" s="273">
        <v>2204.9449999999997</v>
      </c>
      <c r="P6" s="279">
        <f>+O6/N6</f>
        <v>54.668057851239659</v>
      </c>
      <c r="Q6" s="298">
        <v>1</v>
      </c>
      <c r="R6" s="297">
        <v>1</v>
      </c>
      <c r="S6" s="297">
        <v>1</v>
      </c>
      <c r="T6" s="271">
        <f>+Q6*20%+S6*40%+R6*40%</f>
        <v>1</v>
      </c>
      <c r="U6" s="273">
        <v>58.2</v>
      </c>
      <c r="V6" s="289">
        <f>+U6/T6</f>
        <v>58.2</v>
      </c>
      <c r="W6" s="227"/>
      <c r="X6" s="227"/>
      <c r="Y6" s="270" t="e">
        <f>+X6/W6</f>
        <v>#DIV/0!</v>
      </c>
      <c r="Z6" s="51">
        <v>12</v>
      </c>
      <c r="AA6" s="51">
        <v>157.94999999999999</v>
      </c>
      <c r="AB6" s="271">
        <f>AA6/Z6</f>
        <v>13.1625</v>
      </c>
      <c r="AC6" s="51">
        <v>133</v>
      </c>
      <c r="AD6" s="51">
        <v>1087.08</v>
      </c>
      <c r="AE6" s="281">
        <f>AD6/AC6</f>
        <v>8.1735338345864648</v>
      </c>
      <c r="AF6" s="198">
        <v>1442</v>
      </c>
      <c r="AG6" s="52">
        <f t="shared" ref="AG6:AG36" si="0">+AF6/(H6+N6)</f>
        <v>3.1780781663238318</v>
      </c>
      <c r="AH6" s="299">
        <v>720.53</v>
      </c>
      <c r="AI6" s="274"/>
      <c r="AJ6" s="51">
        <v>4909.5447999999997</v>
      </c>
      <c r="AK6" s="43">
        <v>2754</v>
      </c>
      <c r="AL6" s="227">
        <v>106</v>
      </c>
      <c r="AM6" s="304">
        <v>1137.8500000000001</v>
      </c>
      <c r="AN6" s="257">
        <f>AM6/AL6</f>
        <v>10.734433962264152</v>
      </c>
      <c r="AO6" s="258">
        <f>+AM6+AK6+AJ6+AI6+AH6+AF6+AD6+AA6+X6+O6+K6+I6+U6</f>
        <v>41938.893559999997</v>
      </c>
    </row>
    <row r="7" spans="1:41" ht="20.100000000000001" customHeight="1" x14ac:dyDescent="0.25">
      <c r="A7" s="283">
        <v>2</v>
      </c>
      <c r="B7" s="175">
        <v>204</v>
      </c>
      <c r="C7" s="176">
        <v>208</v>
      </c>
      <c r="D7" s="176">
        <v>205</v>
      </c>
      <c r="E7" s="165"/>
      <c r="F7" s="165">
        <v>462</v>
      </c>
      <c r="G7" s="176"/>
      <c r="H7" s="52">
        <f t="shared" ref="H7:H36" si="1">B7*0.2+SUM(C7:F7)*0.4</f>
        <v>390.8</v>
      </c>
      <c r="I7" s="177">
        <v>23092.219999999998</v>
      </c>
      <c r="J7" s="94">
        <f t="shared" ref="J7:J36" si="2">+I7/H7</f>
        <v>59.08961105424769</v>
      </c>
      <c r="K7" s="246">
        <v>1754.7</v>
      </c>
      <c r="L7" s="279">
        <f t="shared" ref="L7:L36" si="3">+K7/H7</f>
        <v>4.4900204708290685</v>
      </c>
      <c r="M7" s="280">
        <f t="shared" ref="M7:M35" si="4">+(K7+I7)/H7</f>
        <v>63.579631525076756</v>
      </c>
      <c r="N7" s="302">
        <v>40</v>
      </c>
      <c r="O7" s="177">
        <v>1944.3241999999996</v>
      </c>
      <c r="P7" s="279">
        <f t="shared" ref="P7:P36" si="5">+O7/N7</f>
        <v>48.608104999999988</v>
      </c>
      <c r="Q7" s="298">
        <v>1</v>
      </c>
      <c r="R7" s="297">
        <v>1</v>
      </c>
      <c r="S7" s="297">
        <v>1</v>
      </c>
      <c r="T7" s="271">
        <f t="shared" ref="T7:T37" si="6">+Q7*20%+S7*40%+R7*40%</f>
        <v>1</v>
      </c>
      <c r="U7" s="273">
        <v>61.99</v>
      </c>
      <c r="V7" s="289">
        <f t="shared" ref="V7:V36" si="7">+U7/T7</f>
        <v>61.99</v>
      </c>
      <c r="W7" s="239"/>
      <c r="X7" s="222"/>
      <c r="Y7" s="270" t="e">
        <f t="shared" ref="Y7:Y36" si="8">+X7/W7</f>
        <v>#DIV/0!</v>
      </c>
      <c r="Z7" s="165">
        <v>10</v>
      </c>
      <c r="AA7" s="200">
        <v>140.39999999999998</v>
      </c>
      <c r="AB7" s="271">
        <f>AA7/Z7</f>
        <v>14.039999999999997</v>
      </c>
      <c r="AC7" s="165">
        <v>121</v>
      </c>
      <c r="AD7" s="165">
        <v>639.5</v>
      </c>
      <c r="AE7" s="282">
        <f t="shared" ref="AE7:AE36" si="9">AD7/AC7</f>
        <v>5.285123966942149</v>
      </c>
      <c r="AF7" s="175">
        <v>788.6</v>
      </c>
      <c r="AG7" s="52">
        <f t="shared" si="0"/>
        <v>1.830547818012999</v>
      </c>
      <c r="AH7" s="176">
        <v>314.95</v>
      </c>
      <c r="AI7" s="235"/>
      <c r="AJ7" s="176">
        <v>215.1</v>
      </c>
      <c r="AK7" s="176"/>
      <c r="AL7" s="227">
        <v>106</v>
      </c>
      <c r="AM7" s="260">
        <v>1152.29</v>
      </c>
      <c r="AN7" s="172">
        <f>AM7/AL7</f>
        <v>10.87066037735849</v>
      </c>
      <c r="AO7" s="258">
        <f t="shared" ref="AO7:AO36" si="10">+AM7+AK7+AJ7+AI7+AH7+AF7+AD7+AA7+X7+O7+K7+I7+U7</f>
        <v>30104.074199999999</v>
      </c>
    </row>
    <row r="8" spans="1:41" ht="20.100000000000001" customHeight="1" x14ac:dyDescent="0.25">
      <c r="A8" s="283">
        <v>3</v>
      </c>
      <c r="B8" s="175">
        <v>85</v>
      </c>
      <c r="C8" s="176">
        <v>95</v>
      </c>
      <c r="D8" s="176">
        <v>106</v>
      </c>
      <c r="E8" s="165"/>
      <c r="F8" s="165">
        <v>460</v>
      </c>
      <c r="G8" s="176"/>
      <c r="H8" s="52">
        <f t="shared" si="1"/>
        <v>281.40000000000003</v>
      </c>
      <c r="I8" s="177">
        <v>16246.861299999997</v>
      </c>
      <c r="J8" s="94">
        <f t="shared" si="2"/>
        <v>57.735825515280723</v>
      </c>
      <c r="K8" s="240">
        <v>2555.1399999999994</v>
      </c>
      <c r="L8" s="279">
        <f t="shared" si="3"/>
        <v>9.0800995024875597</v>
      </c>
      <c r="M8" s="280">
        <f t="shared" si="4"/>
        <v>66.815925017768279</v>
      </c>
      <c r="N8" s="302">
        <v>40.333333333333336</v>
      </c>
      <c r="O8" s="177">
        <v>2019.3249999999996</v>
      </c>
      <c r="P8" s="279">
        <f t="shared" si="5"/>
        <v>50.065909090909081</v>
      </c>
      <c r="Q8" s="298">
        <v>1</v>
      </c>
      <c r="R8" s="297">
        <v>1</v>
      </c>
      <c r="S8" s="297">
        <v>1</v>
      </c>
      <c r="T8" s="271">
        <f t="shared" si="6"/>
        <v>1</v>
      </c>
      <c r="U8" s="273">
        <v>60.34</v>
      </c>
      <c r="V8" s="289">
        <f t="shared" si="7"/>
        <v>60.34</v>
      </c>
      <c r="W8" s="239"/>
      <c r="X8" s="222"/>
      <c r="Y8" s="270" t="e">
        <f t="shared" si="8"/>
        <v>#DIV/0!</v>
      </c>
      <c r="Z8" s="165">
        <v>8</v>
      </c>
      <c r="AA8" s="177">
        <v>117</v>
      </c>
      <c r="AB8" s="271">
        <f>AA8/Z8</f>
        <v>14.625</v>
      </c>
      <c r="AC8" s="176">
        <v>26</v>
      </c>
      <c r="AD8" s="176">
        <v>186.45</v>
      </c>
      <c r="AE8" s="282">
        <f t="shared" si="9"/>
        <v>7.171153846153846</v>
      </c>
      <c r="AF8" s="175">
        <v>553.22</v>
      </c>
      <c r="AG8" s="52">
        <f t="shared" si="0"/>
        <v>1.7194985495234147</v>
      </c>
      <c r="AH8" s="176">
        <v>394.56000000000006</v>
      </c>
      <c r="AI8" s="235"/>
      <c r="AJ8" s="176">
        <v>4925.9899999999989</v>
      </c>
      <c r="AK8" s="176"/>
      <c r="AL8" s="227">
        <v>106</v>
      </c>
      <c r="AM8" s="260">
        <v>1049.3400000000001</v>
      </c>
      <c r="AN8" s="172">
        <f>AM8/AL8</f>
        <v>9.899433962264153</v>
      </c>
      <c r="AO8" s="258">
        <f t="shared" si="10"/>
        <v>28108.226299999995</v>
      </c>
    </row>
    <row r="9" spans="1:41" ht="20.100000000000001" customHeight="1" x14ac:dyDescent="0.25">
      <c r="A9" s="283">
        <v>4</v>
      </c>
      <c r="B9" s="175">
        <v>83</v>
      </c>
      <c r="C9" s="176">
        <v>94</v>
      </c>
      <c r="D9" s="176">
        <v>108</v>
      </c>
      <c r="E9" s="165"/>
      <c r="F9" s="165">
        <v>458</v>
      </c>
      <c r="G9" s="176"/>
      <c r="H9" s="52">
        <f t="shared" si="1"/>
        <v>280.60000000000002</v>
      </c>
      <c r="I9" s="177">
        <v>17008.499999999996</v>
      </c>
      <c r="J9" s="94">
        <f t="shared" si="2"/>
        <v>60.614754098360635</v>
      </c>
      <c r="K9" s="246">
        <v>1631.2300000000002</v>
      </c>
      <c r="L9" s="279">
        <f t="shared" si="3"/>
        <v>5.8133642195295803</v>
      </c>
      <c r="M9" s="280">
        <f t="shared" si="4"/>
        <v>66.42811831789021</v>
      </c>
      <c r="N9" s="302">
        <v>39.666666666666664</v>
      </c>
      <c r="O9" s="177">
        <v>1945.307</v>
      </c>
      <c r="P9" s="279">
        <f t="shared" si="5"/>
        <v>49.041352941176477</v>
      </c>
      <c r="Q9" s="298">
        <v>1</v>
      </c>
      <c r="R9" s="297">
        <v>1</v>
      </c>
      <c r="S9" s="297">
        <v>1</v>
      </c>
      <c r="T9" s="271">
        <f t="shared" si="6"/>
        <v>1</v>
      </c>
      <c r="U9" s="273">
        <v>56.589999999999996</v>
      </c>
      <c r="V9" s="289">
        <f t="shared" si="7"/>
        <v>56.589999999999996</v>
      </c>
      <c r="W9" s="239"/>
      <c r="X9" s="300"/>
      <c r="Y9" s="270" t="e">
        <f t="shared" si="8"/>
        <v>#DIV/0!</v>
      </c>
      <c r="Z9" s="165">
        <v>7</v>
      </c>
      <c r="AA9" s="177">
        <v>99.44</v>
      </c>
      <c r="AB9" s="271">
        <f t="shared" ref="AB9:AB36" si="11">AA9/Z9</f>
        <v>14.205714285714285</v>
      </c>
      <c r="AC9" s="176">
        <v>19</v>
      </c>
      <c r="AD9" s="176">
        <v>158.61000000000001</v>
      </c>
      <c r="AE9" s="282">
        <f t="shared" si="9"/>
        <v>8.3478947368421057</v>
      </c>
      <c r="AF9" s="175"/>
      <c r="AG9" s="52">
        <f t="shared" si="0"/>
        <v>0</v>
      </c>
      <c r="AH9" s="176">
        <v>328.8</v>
      </c>
      <c r="AI9" s="235"/>
      <c r="AJ9" s="177">
        <v>893.94</v>
      </c>
      <c r="AK9" s="176"/>
      <c r="AL9" s="227">
        <v>106</v>
      </c>
      <c r="AM9" s="260">
        <v>1000.9</v>
      </c>
      <c r="AN9" s="172">
        <f>AM9/AL9</f>
        <v>9.4424528301886799</v>
      </c>
      <c r="AO9" s="258">
        <f t="shared" si="10"/>
        <v>23123.316999999999</v>
      </c>
    </row>
    <row r="10" spans="1:41" ht="20.100000000000001" customHeight="1" x14ac:dyDescent="0.25">
      <c r="A10" s="283">
        <v>5</v>
      </c>
      <c r="B10" s="175">
        <v>204</v>
      </c>
      <c r="C10" s="176">
        <v>209</v>
      </c>
      <c r="D10" s="165">
        <v>317</v>
      </c>
      <c r="E10" s="176"/>
      <c r="F10" s="165">
        <v>468</v>
      </c>
      <c r="G10" s="176"/>
      <c r="H10" s="52">
        <f t="shared" si="1"/>
        <v>438.40000000000003</v>
      </c>
      <c r="I10" s="177">
        <v>28352.121500000001</v>
      </c>
      <c r="J10" s="94">
        <f t="shared" si="2"/>
        <v>64.671809990875914</v>
      </c>
      <c r="K10" s="240">
        <v>1513.0500000000002</v>
      </c>
      <c r="L10" s="279">
        <f t="shared" si="3"/>
        <v>3.4513001824817522</v>
      </c>
      <c r="M10" s="280">
        <f t="shared" si="4"/>
        <v>68.123110173357659</v>
      </c>
      <c r="N10" s="302">
        <v>39.666666666666664</v>
      </c>
      <c r="O10" s="177">
        <v>2009.1289999999999</v>
      </c>
      <c r="P10" s="279">
        <f t="shared" si="5"/>
        <v>50.650310924369748</v>
      </c>
      <c r="Q10" s="298">
        <v>3</v>
      </c>
      <c r="R10" s="297">
        <v>3</v>
      </c>
      <c r="S10" s="297">
        <v>3</v>
      </c>
      <c r="T10" s="271">
        <f t="shared" si="6"/>
        <v>3.0000000000000004</v>
      </c>
      <c r="U10" s="273">
        <v>119.09</v>
      </c>
      <c r="V10" s="289">
        <f t="shared" si="7"/>
        <v>39.696666666666665</v>
      </c>
      <c r="W10" s="239"/>
      <c r="X10" s="222"/>
      <c r="Y10" s="270" t="e">
        <f t="shared" si="8"/>
        <v>#DIV/0!</v>
      </c>
      <c r="Z10" s="165">
        <v>32</v>
      </c>
      <c r="AA10" s="177">
        <v>469.00000000000006</v>
      </c>
      <c r="AB10" s="271">
        <f t="shared" si="11"/>
        <v>14.656250000000002</v>
      </c>
      <c r="AC10" s="176">
        <v>265</v>
      </c>
      <c r="AD10" s="176">
        <v>1818.7599999999998</v>
      </c>
      <c r="AE10" s="282">
        <f t="shared" si="9"/>
        <v>6.863245283018867</v>
      </c>
      <c r="AF10" s="175">
        <v>549.9</v>
      </c>
      <c r="AG10" s="52">
        <f t="shared" si="0"/>
        <v>1.1502579835448332</v>
      </c>
      <c r="AH10" s="176">
        <v>361.68</v>
      </c>
      <c r="AI10" s="235"/>
      <c r="AJ10" s="176">
        <v>2051.5</v>
      </c>
      <c r="AK10" s="176"/>
      <c r="AL10" s="227">
        <v>106</v>
      </c>
      <c r="AM10" s="260">
        <v>1166.45</v>
      </c>
      <c r="AN10" s="172">
        <f t="shared" ref="AN10:AN36" si="12">AM10/AL10</f>
        <v>11.004245283018868</v>
      </c>
      <c r="AO10" s="258">
        <f t="shared" si="10"/>
        <v>38410.680499999995</v>
      </c>
    </row>
    <row r="11" spans="1:41" ht="20.100000000000001" customHeight="1" x14ac:dyDescent="0.25">
      <c r="A11" s="283">
        <v>6</v>
      </c>
      <c r="B11" s="175">
        <v>205</v>
      </c>
      <c r="C11" s="176">
        <v>208</v>
      </c>
      <c r="D11" s="176">
        <v>278</v>
      </c>
      <c r="E11" s="176"/>
      <c r="F11" s="165">
        <v>472</v>
      </c>
      <c r="G11" s="176"/>
      <c r="H11" s="52">
        <f t="shared" si="1"/>
        <v>424.20000000000005</v>
      </c>
      <c r="I11" s="177">
        <v>27664.669999999995</v>
      </c>
      <c r="J11" s="94">
        <f t="shared" si="2"/>
        <v>65.216100895803848</v>
      </c>
      <c r="K11" s="246">
        <v>2332.5400000000004</v>
      </c>
      <c r="L11" s="279">
        <f t="shared" si="3"/>
        <v>5.498679867986799</v>
      </c>
      <c r="M11" s="280">
        <f t="shared" si="4"/>
        <v>70.714780763790642</v>
      </c>
      <c r="N11" s="302">
        <v>40</v>
      </c>
      <c r="O11" s="177">
        <v>2220.61</v>
      </c>
      <c r="P11" s="279">
        <f t="shared" si="5"/>
        <v>55.515250000000002</v>
      </c>
      <c r="Q11" s="298">
        <v>2</v>
      </c>
      <c r="R11" s="297">
        <v>2</v>
      </c>
      <c r="S11" s="297">
        <v>2</v>
      </c>
      <c r="T11" s="271">
        <f t="shared" si="6"/>
        <v>2</v>
      </c>
      <c r="U11" s="273">
        <v>109.00999999999999</v>
      </c>
      <c r="V11" s="289">
        <f t="shared" si="7"/>
        <v>54.504999999999995</v>
      </c>
      <c r="W11" s="239"/>
      <c r="X11" s="222"/>
      <c r="Y11" s="270" t="e">
        <f t="shared" si="8"/>
        <v>#DIV/0!</v>
      </c>
      <c r="Z11" s="165">
        <v>26</v>
      </c>
      <c r="AA11" s="177">
        <v>346.73</v>
      </c>
      <c r="AB11" s="271">
        <f t="shared" si="11"/>
        <v>13.335769230769232</v>
      </c>
      <c r="AC11" s="176">
        <v>130</v>
      </c>
      <c r="AD11" s="176">
        <v>899.01</v>
      </c>
      <c r="AE11" s="282">
        <f t="shared" si="9"/>
        <v>6.9154615384615381</v>
      </c>
      <c r="AF11" s="175"/>
      <c r="AG11" s="52">
        <f t="shared" si="0"/>
        <v>0</v>
      </c>
      <c r="AH11" s="176">
        <v>431.61</v>
      </c>
      <c r="AI11" s="235"/>
      <c r="AJ11" s="176">
        <v>3566.8349999999996</v>
      </c>
      <c r="AK11" s="176"/>
      <c r="AL11" s="227">
        <v>106</v>
      </c>
      <c r="AM11" s="260">
        <v>1008.2</v>
      </c>
      <c r="AN11" s="172">
        <f t="shared" si="12"/>
        <v>9.5113207547169818</v>
      </c>
      <c r="AO11" s="258">
        <f t="shared" si="10"/>
        <v>38579.214999999997</v>
      </c>
    </row>
    <row r="12" spans="1:41" ht="20.100000000000001" customHeight="1" x14ac:dyDescent="0.25">
      <c r="A12" s="283">
        <v>7</v>
      </c>
      <c r="B12" s="175">
        <v>203</v>
      </c>
      <c r="C12" s="176">
        <v>210</v>
      </c>
      <c r="D12" s="176">
        <v>281</v>
      </c>
      <c r="E12" s="176"/>
      <c r="F12" s="165">
        <v>478</v>
      </c>
      <c r="G12" s="176"/>
      <c r="H12" s="52">
        <f t="shared" si="1"/>
        <v>428.20000000000005</v>
      </c>
      <c r="I12" s="177">
        <v>28691.55</v>
      </c>
      <c r="J12" s="94">
        <f t="shared" si="2"/>
        <v>67.005021018215771</v>
      </c>
      <c r="K12" s="240">
        <v>2601.9</v>
      </c>
      <c r="L12" s="279">
        <f t="shared" si="3"/>
        <v>6.0763661840261554</v>
      </c>
      <c r="M12" s="280">
        <f t="shared" si="4"/>
        <v>73.081387202241942</v>
      </c>
      <c r="N12" s="302">
        <v>39.666666666666664</v>
      </c>
      <c r="O12" s="177">
        <v>2414.0464999999995</v>
      </c>
      <c r="P12" s="279">
        <f t="shared" si="5"/>
        <v>60.858315126050414</v>
      </c>
      <c r="Q12" s="298">
        <v>2</v>
      </c>
      <c r="R12" s="297">
        <v>2</v>
      </c>
      <c r="S12" s="297">
        <v>2</v>
      </c>
      <c r="T12" s="271">
        <f t="shared" si="6"/>
        <v>2</v>
      </c>
      <c r="U12" s="273">
        <v>88.34</v>
      </c>
      <c r="V12" s="289">
        <f t="shared" si="7"/>
        <v>44.17</v>
      </c>
      <c r="W12" s="239"/>
      <c r="X12" s="239"/>
      <c r="Y12" s="270" t="e">
        <f t="shared" si="8"/>
        <v>#DIV/0!</v>
      </c>
      <c r="Z12" s="176">
        <v>31</v>
      </c>
      <c r="AA12" s="177">
        <v>350.83</v>
      </c>
      <c r="AB12" s="271">
        <f t="shared" si="11"/>
        <v>11.317096774193548</v>
      </c>
      <c r="AC12" s="176">
        <v>140</v>
      </c>
      <c r="AD12" s="176">
        <v>869.8</v>
      </c>
      <c r="AE12" s="282">
        <f t="shared" si="9"/>
        <v>6.2128571428571426</v>
      </c>
      <c r="AF12" s="175">
        <v>683</v>
      </c>
      <c r="AG12" s="52">
        <f t="shared" si="0"/>
        <v>1.4598176118552293</v>
      </c>
      <c r="AH12" s="176">
        <v>1089.06</v>
      </c>
      <c r="AI12" s="235"/>
      <c r="AJ12" s="176">
        <v>3630.8</v>
      </c>
      <c r="AK12" s="176"/>
      <c r="AL12" s="227">
        <v>106</v>
      </c>
      <c r="AM12" s="260">
        <v>1023.3000000000001</v>
      </c>
      <c r="AN12" s="172">
        <f t="shared" si="12"/>
        <v>9.653773584905661</v>
      </c>
      <c r="AO12" s="258">
        <f t="shared" si="10"/>
        <v>41442.626499999998</v>
      </c>
    </row>
    <row r="13" spans="1:41" ht="20.100000000000001" customHeight="1" x14ac:dyDescent="0.25">
      <c r="A13" s="283">
        <v>8</v>
      </c>
      <c r="B13" s="175">
        <v>204</v>
      </c>
      <c r="C13" s="176">
        <v>210</v>
      </c>
      <c r="D13" s="176">
        <v>258</v>
      </c>
      <c r="E13" s="176"/>
      <c r="F13" s="165">
        <v>517</v>
      </c>
      <c r="G13" s="176"/>
      <c r="H13" s="52">
        <f t="shared" si="1"/>
        <v>434.8</v>
      </c>
      <c r="I13" s="177">
        <v>28872.643199999999</v>
      </c>
      <c r="J13" s="94">
        <f t="shared" si="2"/>
        <v>66.404423183072666</v>
      </c>
      <c r="K13" s="246">
        <v>2468.0500000000002</v>
      </c>
      <c r="L13" s="279">
        <f t="shared" si="3"/>
        <v>5.6762879484820612</v>
      </c>
      <c r="M13" s="280">
        <f t="shared" si="4"/>
        <v>72.080711131554736</v>
      </c>
      <c r="N13" s="302">
        <v>40</v>
      </c>
      <c r="O13" s="177">
        <v>1978.7649999999999</v>
      </c>
      <c r="P13" s="279">
        <f t="shared" si="5"/>
        <v>49.469124999999998</v>
      </c>
      <c r="Q13" s="298">
        <v>2</v>
      </c>
      <c r="R13" s="297">
        <v>2</v>
      </c>
      <c r="S13" s="297">
        <v>2</v>
      </c>
      <c r="T13" s="271">
        <f t="shared" si="6"/>
        <v>2</v>
      </c>
      <c r="U13" s="273">
        <v>90.15</v>
      </c>
      <c r="V13" s="289">
        <f t="shared" si="7"/>
        <v>45.075000000000003</v>
      </c>
      <c r="W13" s="239"/>
      <c r="X13" s="239"/>
      <c r="Y13" s="270" t="e">
        <f t="shared" si="8"/>
        <v>#DIV/0!</v>
      </c>
      <c r="Z13" s="176">
        <v>21</v>
      </c>
      <c r="AA13" s="177">
        <v>272.02000000000004</v>
      </c>
      <c r="AB13" s="271">
        <f t="shared" si="11"/>
        <v>12.953333333333335</v>
      </c>
      <c r="AC13" s="176">
        <v>123</v>
      </c>
      <c r="AD13" s="176">
        <v>778.16000000000008</v>
      </c>
      <c r="AE13" s="282">
        <f t="shared" si="9"/>
        <v>6.326504065040651</v>
      </c>
      <c r="AF13" s="175">
        <v>563.9</v>
      </c>
      <c r="AG13" s="52">
        <f t="shared" si="0"/>
        <v>1.1876579612468408</v>
      </c>
      <c r="AH13" s="176">
        <v>361.68</v>
      </c>
      <c r="AI13" s="235"/>
      <c r="AJ13" s="176">
        <v>5592.8000000000011</v>
      </c>
      <c r="AK13" s="176"/>
      <c r="AL13" s="227">
        <v>106</v>
      </c>
      <c r="AM13" s="260">
        <v>1100</v>
      </c>
      <c r="AN13" s="172">
        <f t="shared" si="12"/>
        <v>10.377358490566039</v>
      </c>
      <c r="AO13" s="258">
        <f t="shared" si="10"/>
        <v>42078.1682</v>
      </c>
    </row>
    <row r="14" spans="1:41" ht="20.100000000000001" customHeight="1" x14ac:dyDescent="0.25">
      <c r="A14" s="283">
        <v>9</v>
      </c>
      <c r="B14" s="164">
        <v>202</v>
      </c>
      <c r="C14" s="165">
        <v>209</v>
      </c>
      <c r="D14" s="165">
        <v>205</v>
      </c>
      <c r="E14" s="176"/>
      <c r="F14" s="165">
        <v>874</v>
      </c>
      <c r="G14" s="176"/>
      <c r="H14" s="52">
        <f t="shared" si="1"/>
        <v>555.6</v>
      </c>
      <c r="I14" s="177">
        <v>36956.958300000006</v>
      </c>
      <c r="J14" s="94">
        <f t="shared" si="2"/>
        <v>66.517203563714915</v>
      </c>
      <c r="K14" s="240">
        <v>2418.9400000000005</v>
      </c>
      <c r="L14" s="279">
        <f t="shared" si="3"/>
        <v>4.3537437005039603</v>
      </c>
      <c r="M14" s="280">
        <f t="shared" si="4"/>
        <v>70.87094726421887</v>
      </c>
      <c r="N14" s="302">
        <v>40</v>
      </c>
      <c r="O14" s="177">
        <v>1929.4949999999999</v>
      </c>
      <c r="P14" s="279">
        <f t="shared" si="5"/>
        <v>48.237375</v>
      </c>
      <c r="Q14" s="298">
        <v>2</v>
      </c>
      <c r="R14" s="297">
        <v>2</v>
      </c>
      <c r="S14" s="297">
        <v>0</v>
      </c>
      <c r="T14" s="271">
        <f t="shared" si="6"/>
        <v>1.2000000000000002</v>
      </c>
      <c r="U14" s="273">
        <v>76.109999999999985</v>
      </c>
      <c r="V14" s="289">
        <f t="shared" si="7"/>
        <v>63.424999999999976</v>
      </c>
      <c r="W14" s="239"/>
      <c r="X14" s="239"/>
      <c r="Y14" s="270" t="e">
        <f t="shared" si="8"/>
        <v>#DIV/0!</v>
      </c>
      <c r="Z14" s="176">
        <v>10</v>
      </c>
      <c r="AA14" s="177">
        <v>131.32000000000002</v>
      </c>
      <c r="AB14" s="271">
        <f t="shared" si="11"/>
        <v>13.132000000000001</v>
      </c>
      <c r="AC14" s="176">
        <v>133</v>
      </c>
      <c r="AD14" s="176">
        <v>916</v>
      </c>
      <c r="AE14" s="282">
        <f t="shared" si="9"/>
        <v>6.8872180451127818</v>
      </c>
      <c r="AF14" s="175">
        <v>437</v>
      </c>
      <c r="AG14" s="52">
        <f t="shared" si="0"/>
        <v>0.73371390194761588</v>
      </c>
      <c r="AH14" s="176">
        <v>328.8</v>
      </c>
      <c r="AI14" s="235"/>
      <c r="AJ14" s="176">
        <v>2442.5600000000004</v>
      </c>
      <c r="AK14" s="176"/>
      <c r="AL14" s="227">
        <v>106</v>
      </c>
      <c r="AM14" s="260">
        <v>1073.05</v>
      </c>
      <c r="AN14" s="172">
        <f t="shared" si="12"/>
        <v>10.123113207547169</v>
      </c>
      <c r="AO14" s="258">
        <f t="shared" si="10"/>
        <v>46710.233300000007</v>
      </c>
    </row>
    <row r="15" spans="1:41" ht="20.100000000000001" customHeight="1" x14ac:dyDescent="0.25">
      <c r="A15" s="283">
        <v>10</v>
      </c>
      <c r="B15" s="164">
        <v>85</v>
      </c>
      <c r="C15" s="165">
        <v>95</v>
      </c>
      <c r="D15" s="165">
        <v>104</v>
      </c>
      <c r="E15" s="176"/>
      <c r="F15" s="165">
        <v>517</v>
      </c>
      <c r="G15" s="176"/>
      <c r="H15" s="52">
        <f t="shared" si="1"/>
        <v>303.40000000000003</v>
      </c>
      <c r="I15" s="177">
        <v>18846.243700000006</v>
      </c>
      <c r="J15" s="94">
        <f t="shared" si="2"/>
        <v>62.116821687541211</v>
      </c>
      <c r="K15" s="260">
        <v>3051.3300000000004</v>
      </c>
      <c r="L15" s="279">
        <f t="shared" si="3"/>
        <v>10.057119314436388</v>
      </c>
      <c r="M15" s="280">
        <f t="shared" si="4"/>
        <v>72.17394100197761</v>
      </c>
      <c r="N15" s="303">
        <v>40</v>
      </c>
      <c r="O15" s="177">
        <v>1837.0043999999998</v>
      </c>
      <c r="P15" s="279">
        <f t="shared" si="5"/>
        <v>45.925109999999997</v>
      </c>
      <c r="Q15" s="298">
        <v>0</v>
      </c>
      <c r="R15" s="297">
        <v>0</v>
      </c>
      <c r="S15" s="297">
        <v>0</v>
      </c>
      <c r="T15" s="271">
        <f t="shared" si="6"/>
        <v>0</v>
      </c>
      <c r="U15" s="273"/>
      <c r="V15" s="289" t="e">
        <f t="shared" si="7"/>
        <v>#DIV/0!</v>
      </c>
      <c r="W15" s="239">
        <v>35</v>
      </c>
      <c r="X15" s="239">
        <v>1624.77</v>
      </c>
      <c r="Y15" s="270">
        <f t="shared" si="8"/>
        <v>46.421999999999997</v>
      </c>
      <c r="Z15" s="176">
        <v>7</v>
      </c>
      <c r="AA15" s="177">
        <v>93.6</v>
      </c>
      <c r="AB15" s="271">
        <f t="shared" si="11"/>
        <v>13.37142857142857</v>
      </c>
      <c r="AC15" s="176">
        <v>23</v>
      </c>
      <c r="AD15" s="176">
        <v>150.92999999999998</v>
      </c>
      <c r="AE15" s="282">
        <f t="shared" si="9"/>
        <v>6.5621739130434777</v>
      </c>
      <c r="AF15" s="175">
        <v>668</v>
      </c>
      <c r="AG15" s="52">
        <f t="shared" si="0"/>
        <v>1.945253348864298</v>
      </c>
      <c r="AH15" s="176">
        <v>303.98</v>
      </c>
      <c r="AI15" s="235"/>
      <c r="AJ15" s="176">
        <v>4357.7450000000008</v>
      </c>
      <c r="AK15" s="176"/>
      <c r="AL15" s="227">
        <v>106</v>
      </c>
      <c r="AM15" s="260">
        <v>1136</v>
      </c>
      <c r="AN15" s="172">
        <f t="shared" si="12"/>
        <v>10.716981132075471</v>
      </c>
      <c r="AO15" s="258">
        <f t="shared" si="10"/>
        <v>32069.603100000008</v>
      </c>
    </row>
    <row r="16" spans="1:41" ht="20.100000000000001" customHeight="1" x14ac:dyDescent="0.25">
      <c r="A16" s="283">
        <v>11</v>
      </c>
      <c r="B16" s="164">
        <v>84</v>
      </c>
      <c r="C16" s="165">
        <v>95</v>
      </c>
      <c r="D16" s="165">
        <v>103</v>
      </c>
      <c r="E16" s="176"/>
      <c r="F16" s="165">
        <v>517</v>
      </c>
      <c r="G16" s="176"/>
      <c r="H16" s="52">
        <f t="shared" si="1"/>
        <v>302.8</v>
      </c>
      <c r="I16" s="177">
        <v>18438.844999999998</v>
      </c>
      <c r="J16" s="94">
        <f t="shared" si="2"/>
        <v>60.894468295904879</v>
      </c>
      <c r="K16" s="260">
        <v>2519.9100000000003</v>
      </c>
      <c r="L16" s="279">
        <f t="shared" si="3"/>
        <v>8.3220277410832235</v>
      </c>
      <c r="M16" s="280">
        <f t="shared" si="4"/>
        <v>69.216496036988104</v>
      </c>
      <c r="N16" s="303">
        <v>40</v>
      </c>
      <c r="O16" s="177">
        <v>1901.7949999999998</v>
      </c>
      <c r="P16" s="279">
        <f t="shared" si="5"/>
        <v>47.544874999999998</v>
      </c>
      <c r="Q16" s="298">
        <v>1</v>
      </c>
      <c r="R16" s="297">
        <v>1</v>
      </c>
      <c r="S16" s="297">
        <v>1</v>
      </c>
      <c r="T16" s="271">
        <f t="shared" si="6"/>
        <v>1</v>
      </c>
      <c r="U16" s="273">
        <v>59.61</v>
      </c>
      <c r="V16" s="289">
        <f t="shared" si="7"/>
        <v>59.61</v>
      </c>
      <c r="W16" s="239"/>
      <c r="X16" s="239"/>
      <c r="Y16" s="270" t="e">
        <f t="shared" si="8"/>
        <v>#DIV/0!</v>
      </c>
      <c r="Z16" s="176">
        <v>7</v>
      </c>
      <c r="AA16" s="177">
        <v>93.6</v>
      </c>
      <c r="AB16" s="271">
        <f t="shared" si="11"/>
        <v>13.37142857142857</v>
      </c>
      <c r="AC16" s="176">
        <v>23</v>
      </c>
      <c r="AD16" s="176">
        <v>152.1</v>
      </c>
      <c r="AE16" s="282">
        <f t="shared" si="9"/>
        <v>6.6130434782608694</v>
      </c>
      <c r="AF16" s="175">
        <v>579</v>
      </c>
      <c r="AG16" s="52">
        <f t="shared" si="0"/>
        <v>1.6890315052508751</v>
      </c>
      <c r="AH16" s="176">
        <v>361.68</v>
      </c>
      <c r="AI16" s="235"/>
      <c r="AJ16" s="176">
        <v>2776.8949999999995</v>
      </c>
      <c r="AK16" s="176"/>
      <c r="AL16" s="227">
        <v>106</v>
      </c>
      <c r="AM16" s="260">
        <v>1029.4899999999998</v>
      </c>
      <c r="AN16" s="172">
        <f t="shared" si="12"/>
        <v>9.7121698113207522</v>
      </c>
      <c r="AO16" s="258">
        <f t="shared" si="10"/>
        <v>27912.924999999999</v>
      </c>
    </row>
    <row r="17" spans="1:41" ht="20.100000000000001" customHeight="1" x14ac:dyDescent="0.25">
      <c r="A17" s="283">
        <v>12</v>
      </c>
      <c r="B17" s="164">
        <v>203</v>
      </c>
      <c r="C17" s="165">
        <v>210</v>
      </c>
      <c r="D17" s="165">
        <v>280</v>
      </c>
      <c r="E17" s="176"/>
      <c r="F17" s="165">
        <v>543</v>
      </c>
      <c r="G17" s="176"/>
      <c r="H17" s="52">
        <f t="shared" si="1"/>
        <v>453.80000000000007</v>
      </c>
      <c r="I17" s="177">
        <v>27810.684300000004</v>
      </c>
      <c r="J17" s="94">
        <f t="shared" si="2"/>
        <v>61.284011238431027</v>
      </c>
      <c r="K17" s="260">
        <v>2752.48</v>
      </c>
      <c r="L17" s="279">
        <f t="shared" si="3"/>
        <v>6.0654032613486111</v>
      </c>
      <c r="M17" s="280">
        <f t="shared" si="4"/>
        <v>67.349414499779641</v>
      </c>
      <c r="N17" s="303">
        <v>39.666666666666664</v>
      </c>
      <c r="O17" s="177">
        <v>2006.895</v>
      </c>
      <c r="P17" s="279">
        <f t="shared" si="5"/>
        <v>50.593991596638659</v>
      </c>
      <c r="Q17" s="298">
        <v>2</v>
      </c>
      <c r="R17" s="297">
        <v>2</v>
      </c>
      <c r="S17" s="297">
        <v>2</v>
      </c>
      <c r="T17" s="271">
        <f t="shared" si="6"/>
        <v>2</v>
      </c>
      <c r="U17" s="273">
        <v>98.74</v>
      </c>
      <c r="V17" s="289">
        <f t="shared" si="7"/>
        <v>49.37</v>
      </c>
      <c r="W17" s="239"/>
      <c r="X17" s="239"/>
      <c r="Y17" s="270" t="e">
        <f t="shared" si="8"/>
        <v>#DIV/0!</v>
      </c>
      <c r="Z17" s="176">
        <v>32</v>
      </c>
      <c r="AA17" s="177">
        <v>417.62</v>
      </c>
      <c r="AB17" s="271">
        <f t="shared" si="11"/>
        <v>13.050625</v>
      </c>
      <c r="AC17" s="176">
        <v>266</v>
      </c>
      <c r="AD17" s="176">
        <v>1802.3400000000001</v>
      </c>
      <c r="AE17" s="282">
        <f t="shared" si="9"/>
        <v>6.7757142857142867</v>
      </c>
      <c r="AF17" s="175"/>
      <c r="AG17" s="52">
        <f t="shared" si="0"/>
        <v>0</v>
      </c>
      <c r="AH17" s="176">
        <v>328.8</v>
      </c>
      <c r="AI17" s="235"/>
      <c r="AJ17" s="176"/>
      <c r="AK17" s="176"/>
      <c r="AL17" s="227">
        <v>106</v>
      </c>
      <c r="AM17" s="260">
        <v>1076.9000000000001</v>
      </c>
      <c r="AN17" s="172">
        <f t="shared" si="12"/>
        <v>10.159433962264151</v>
      </c>
      <c r="AO17" s="258">
        <f t="shared" si="10"/>
        <v>36294.459300000002</v>
      </c>
    </row>
    <row r="18" spans="1:41" ht="20.100000000000001" customHeight="1" x14ac:dyDescent="0.25">
      <c r="A18" s="283">
        <v>13</v>
      </c>
      <c r="B18" s="164">
        <v>205</v>
      </c>
      <c r="C18" s="165">
        <v>209</v>
      </c>
      <c r="D18" s="165">
        <v>283</v>
      </c>
      <c r="E18" s="176"/>
      <c r="F18" s="165">
        <v>547</v>
      </c>
      <c r="G18" s="176"/>
      <c r="H18" s="52">
        <f t="shared" si="1"/>
        <v>456.6</v>
      </c>
      <c r="I18" s="177">
        <v>29288.69</v>
      </c>
      <c r="J18" s="94">
        <f t="shared" si="2"/>
        <v>64.145181778361803</v>
      </c>
      <c r="K18" s="260">
        <v>2442.2699999999995</v>
      </c>
      <c r="L18" s="279">
        <f t="shared" si="3"/>
        <v>5.3488173455978965</v>
      </c>
      <c r="M18" s="280">
        <f t="shared" si="4"/>
        <v>69.493999123959696</v>
      </c>
      <c r="N18" s="303">
        <v>40.333333333333336</v>
      </c>
      <c r="O18" s="177">
        <v>1934.9149999999997</v>
      </c>
      <c r="P18" s="279">
        <f t="shared" si="5"/>
        <v>47.973099173553713</v>
      </c>
      <c r="Q18" s="298">
        <v>2</v>
      </c>
      <c r="R18" s="297">
        <v>2</v>
      </c>
      <c r="S18" s="297">
        <v>2</v>
      </c>
      <c r="T18" s="271">
        <f t="shared" si="6"/>
        <v>2</v>
      </c>
      <c r="U18" s="273">
        <v>100.03999999999999</v>
      </c>
      <c r="V18" s="289">
        <f t="shared" si="7"/>
        <v>50.019999999999996</v>
      </c>
      <c r="W18" s="239"/>
      <c r="X18" s="239"/>
      <c r="Y18" s="270" t="e">
        <f t="shared" si="8"/>
        <v>#DIV/0!</v>
      </c>
      <c r="Z18" s="176">
        <v>25</v>
      </c>
      <c r="AA18" s="177">
        <v>484.8</v>
      </c>
      <c r="AB18" s="271">
        <f t="shared" si="11"/>
        <v>19.391999999999999</v>
      </c>
      <c r="AC18" s="176">
        <v>130</v>
      </c>
      <c r="AD18" s="176">
        <v>1089.7</v>
      </c>
      <c r="AE18" s="282">
        <f t="shared" si="9"/>
        <v>8.3823076923076929</v>
      </c>
      <c r="AF18" s="175">
        <v>1312.03</v>
      </c>
      <c r="AG18" s="52">
        <f t="shared" si="0"/>
        <v>2.6402535551381807</v>
      </c>
      <c r="AH18" s="176">
        <v>422.05999999999995</v>
      </c>
      <c r="AI18" s="235"/>
      <c r="AJ18" s="176"/>
      <c r="AK18" s="176">
        <v>4131</v>
      </c>
      <c r="AL18" s="227">
        <v>106</v>
      </c>
      <c r="AM18" s="260">
        <v>1072.8200000000002</v>
      </c>
      <c r="AN18" s="172">
        <f t="shared" si="12"/>
        <v>10.120943396226417</v>
      </c>
      <c r="AO18" s="258">
        <f t="shared" si="10"/>
        <v>42278.324999999997</v>
      </c>
    </row>
    <row r="19" spans="1:41" ht="20.100000000000001" customHeight="1" x14ac:dyDescent="0.25">
      <c r="A19" s="283">
        <v>14</v>
      </c>
      <c r="B19" s="164">
        <v>204</v>
      </c>
      <c r="C19" s="165">
        <v>210</v>
      </c>
      <c r="D19" s="165">
        <v>265</v>
      </c>
      <c r="E19" s="176"/>
      <c r="F19" s="165">
        <v>538</v>
      </c>
      <c r="G19" s="176"/>
      <c r="H19" s="52">
        <f t="shared" si="1"/>
        <v>446.00000000000006</v>
      </c>
      <c r="I19" s="177">
        <v>28535.129999999994</v>
      </c>
      <c r="J19" s="94">
        <f t="shared" si="2"/>
        <v>63.980112107623299</v>
      </c>
      <c r="K19" s="260">
        <v>2538.7000000000003</v>
      </c>
      <c r="L19" s="279">
        <f t="shared" si="3"/>
        <v>5.6921524663677125</v>
      </c>
      <c r="M19" s="280">
        <f t="shared" si="4"/>
        <v>69.672264573991015</v>
      </c>
      <c r="N19" s="303">
        <v>40</v>
      </c>
      <c r="O19" s="177">
        <v>1900.7149999999999</v>
      </c>
      <c r="P19" s="279">
        <f t="shared" si="5"/>
        <v>47.517874999999997</v>
      </c>
      <c r="Q19" s="298">
        <v>2</v>
      </c>
      <c r="R19" s="297">
        <v>2</v>
      </c>
      <c r="S19" s="297">
        <v>2</v>
      </c>
      <c r="T19" s="271">
        <f t="shared" si="6"/>
        <v>2</v>
      </c>
      <c r="U19" s="273">
        <v>98.85</v>
      </c>
      <c r="V19" s="289">
        <f t="shared" si="7"/>
        <v>49.424999999999997</v>
      </c>
      <c r="W19" s="239"/>
      <c r="X19" s="284"/>
      <c r="Y19" s="270" t="e">
        <f t="shared" si="8"/>
        <v>#DIV/0!</v>
      </c>
      <c r="Z19" s="176">
        <v>31</v>
      </c>
      <c r="AA19" s="177">
        <v>421.2</v>
      </c>
      <c r="AB19" s="271">
        <f t="shared" si="11"/>
        <v>13.587096774193547</v>
      </c>
      <c r="AC19" s="176">
        <v>140</v>
      </c>
      <c r="AD19" s="176">
        <v>943.96</v>
      </c>
      <c r="AE19" s="282">
        <f t="shared" si="9"/>
        <v>6.7425714285714289</v>
      </c>
      <c r="AF19" s="175">
        <v>312</v>
      </c>
      <c r="AG19" s="52">
        <f t="shared" si="0"/>
        <v>0.64197530864197527</v>
      </c>
      <c r="AH19" s="176">
        <v>825</v>
      </c>
      <c r="AI19" s="235"/>
      <c r="AJ19" s="177">
        <v>3070.1499999999996</v>
      </c>
      <c r="AK19" s="176"/>
      <c r="AL19" s="227">
        <v>106</v>
      </c>
      <c r="AM19" s="260">
        <v>1038.4499999999998</v>
      </c>
      <c r="AN19" s="172">
        <f t="shared" si="12"/>
        <v>9.7966981132075457</v>
      </c>
      <c r="AO19" s="258">
        <f t="shared" si="10"/>
        <v>39684.154999999992</v>
      </c>
    </row>
    <row r="20" spans="1:41" ht="20.100000000000001" customHeight="1" x14ac:dyDescent="0.25">
      <c r="A20" s="283">
        <v>15</v>
      </c>
      <c r="B20" s="175">
        <v>203</v>
      </c>
      <c r="C20" s="176">
        <v>209</v>
      </c>
      <c r="D20" s="165">
        <v>259</v>
      </c>
      <c r="E20" s="176"/>
      <c r="F20" s="165">
        <v>552</v>
      </c>
      <c r="G20" s="176"/>
      <c r="H20" s="52">
        <f t="shared" si="1"/>
        <v>448.6</v>
      </c>
      <c r="I20" s="177">
        <v>30097.325000000001</v>
      </c>
      <c r="J20" s="94">
        <f t="shared" si="2"/>
        <v>67.091674097191259</v>
      </c>
      <c r="K20" s="260">
        <v>2720.77</v>
      </c>
      <c r="L20" s="279">
        <f t="shared" si="3"/>
        <v>6.0650245207311633</v>
      </c>
      <c r="M20" s="280">
        <f t="shared" si="4"/>
        <v>73.15669861792243</v>
      </c>
      <c r="N20" s="303">
        <v>40</v>
      </c>
      <c r="O20" s="177">
        <v>2094.3450000000003</v>
      </c>
      <c r="P20" s="279">
        <f t="shared" si="5"/>
        <v>52.358625000000004</v>
      </c>
      <c r="Q20" s="298">
        <v>2</v>
      </c>
      <c r="R20" s="297">
        <v>2</v>
      </c>
      <c r="S20" s="297">
        <v>2</v>
      </c>
      <c r="T20" s="271">
        <f t="shared" si="6"/>
        <v>2</v>
      </c>
      <c r="U20" s="273">
        <v>104.42999999999999</v>
      </c>
      <c r="V20" s="289">
        <f t="shared" si="7"/>
        <v>52.214999999999996</v>
      </c>
      <c r="W20" s="239"/>
      <c r="X20" s="239"/>
      <c r="Y20" s="270" t="e">
        <f t="shared" si="8"/>
        <v>#DIV/0!</v>
      </c>
      <c r="Z20" s="176">
        <v>16</v>
      </c>
      <c r="AA20" s="177">
        <v>229</v>
      </c>
      <c r="AB20" s="271">
        <f t="shared" si="11"/>
        <v>14.3125</v>
      </c>
      <c r="AC20" s="176">
        <v>128</v>
      </c>
      <c r="AD20" s="176">
        <v>898.34</v>
      </c>
      <c r="AE20" s="282">
        <f t="shared" si="9"/>
        <v>7.0182812500000002</v>
      </c>
      <c r="AF20" s="175">
        <v>550.95000000000005</v>
      </c>
      <c r="AG20" s="52">
        <f t="shared" si="0"/>
        <v>1.1276094965206713</v>
      </c>
      <c r="AH20" s="176">
        <v>1502.6499999999999</v>
      </c>
      <c r="AI20" s="235"/>
      <c r="AJ20" s="176">
        <v>2952.6299999999997</v>
      </c>
      <c r="AK20" s="176"/>
      <c r="AL20" s="227">
        <v>106</v>
      </c>
      <c r="AM20" s="260">
        <v>1073.92</v>
      </c>
      <c r="AN20" s="172">
        <f t="shared" si="12"/>
        <v>10.131320754716981</v>
      </c>
      <c r="AO20" s="258">
        <f t="shared" si="10"/>
        <v>42224.36</v>
      </c>
    </row>
    <row r="21" spans="1:41" ht="20.100000000000001" customHeight="1" x14ac:dyDescent="0.25">
      <c r="A21" s="283">
        <v>16</v>
      </c>
      <c r="B21" s="164">
        <v>205</v>
      </c>
      <c r="C21" s="165">
        <v>210</v>
      </c>
      <c r="D21" s="176">
        <v>210</v>
      </c>
      <c r="E21" s="176"/>
      <c r="F21" s="165">
        <v>520</v>
      </c>
      <c r="G21" s="176"/>
      <c r="H21" s="52">
        <f t="shared" si="1"/>
        <v>417</v>
      </c>
      <c r="I21" s="177">
        <v>28505.945</v>
      </c>
      <c r="J21" s="94">
        <f t="shared" si="2"/>
        <v>68.359580335731408</v>
      </c>
      <c r="K21" s="260">
        <v>2767.7200000000003</v>
      </c>
      <c r="L21" s="279">
        <f t="shared" si="3"/>
        <v>6.637218225419665</v>
      </c>
      <c r="M21" s="280">
        <f t="shared" si="4"/>
        <v>74.996798561151081</v>
      </c>
      <c r="N21" s="204">
        <v>40.666666666666664</v>
      </c>
      <c r="O21" s="177">
        <v>1929.8950000000002</v>
      </c>
      <c r="P21" s="279">
        <f t="shared" si="5"/>
        <v>47.456434426229514</v>
      </c>
      <c r="Q21" s="298">
        <v>2</v>
      </c>
      <c r="R21" s="297">
        <v>2</v>
      </c>
      <c r="S21" s="297">
        <v>2</v>
      </c>
      <c r="T21" s="271">
        <f t="shared" si="6"/>
        <v>2</v>
      </c>
      <c r="U21" s="273">
        <v>97.33</v>
      </c>
      <c r="V21" s="289">
        <f t="shared" si="7"/>
        <v>48.664999999999999</v>
      </c>
      <c r="W21" s="239"/>
      <c r="X21" s="239"/>
      <c r="Y21" s="270" t="e">
        <f t="shared" si="8"/>
        <v>#DIV/0!</v>
      </c>
      <c r="Z21" s="176">
        <v>13</v>
      </c>
      <c r="AA21" s="177">
        <v>97.4</v>
      </c>
      <c r="AB21" s="271">
        <f t="shared" si="11"/>
        <v>7.4923076923076923</v>
      </c>
      <c r="AC21" s="176">
        <v>121</v>
      </c>
      <c r="AD21" s="176">
        <v>843.1400000000001</v>
      </c>
      <c r="AE21" s="282">
        <f t="shared" si="9"/>
        <v>6.9680991735537194</v>
      </c>
      <c r="AF21" s="175">
        <v>450</v>
      </c>
      <c r="AG21" s="52">
        <f t="shared" si="0"/>
        <v>0.98324836125273118</v>
      </c>
      <c r="AH21" s="176">
        <v>390.34</v>
      </c>
      <c r="AI21" s="235"/>
      <c r="AJ21" s="176">
        <v>2342.3249999999998</v>
      </c>
      <c r="AK21" s="176">
        <v>4131</v>
      </c>
      <c r="AL21" s="227">
        <v>106</v>
      </c>
      <c r="AM21" s="260">
        <v>1267.4000000000001</v>
      </c>
      <c r="AN21" s="172">
        <f t="shared" si="12"/>
        <v>11.956603773584906</v>
      </c>
      <c r="AO21" s="258">
        <f t="shared" si="10"/>
        <v>42822.494999999995</v>
      </c>
    </row>
    <row r="22" spans="1:41" ht="20.100000000000001" customHeight="1" x14ac:dyDescent="0.25">
      <c r="A22" s="283">
        <v>17</v>
      </c>
      <c r="B22" s="175">
        <v>85</v>
      </c>
      <c r="C22" s="176">
        <v>95</v>
      </c>
      <c r="D22" s="165">
        <v>131</v>
      </c>
      <c r="E22" s="176"/>
      <c r="F22" s="165">
        <v>518</v>
      </c>
      <c r="G22" s="176"/>
      <c r="H22" s="52">
        <f t="shared" si="1"/>
        <v>314.60000000000002</v>
      </c>
      <c r="I22" s="177">
        <v>21420.689700000003</v>
      </c>
      <c r="J22" s="94">
        <f t="shared" si="2"/>
        <v>68.088651303242216</v>
      </c>
      <c r="K22" s="260">
        <v>2548.7900000000004</v>
      </c>
      <c r="L22" s="279">
        <f t="shared" si="3"/>
        <v>8.1016846789574064</v>
      </c>
      <c r="M22" s="280">
        <f t="shared" si="4"/>
        <v>76.190335982199628</v>
      </c>
      <c r="N22" s="204">
        <v>40</v>
      </c>
      <c r="O22" s="177">
        <v>1731.4690000000001</v>
      </c>
      <c r="P22" s="279">
        <f t="shared" si="5"/>
        <v>43.286725000000004</v>
      </c>
      <c r="Q22" s="298">
        <v>1</v>
      </c>
      <c r="R22" s="297">
        <v>1</v>
      </c>
      <c r="S22" s="297">
        <v>1</v>
      </c>
      <c r="T22" s="271">
        <f t="shared" si="6"/>
        <v>1</v>
      </c>
      <c r="U22" s="273">
        <v>66.349999999999994</v>
      </c>
      <c r="V22" s="289">
        <f t="shared" si="7"/>
        <v>66.349999999999994</v>
      </c>
      <c r="W22" s="239"/>
      <c r="X22" s="239"/>
      <c r="Y22" s="270" t="e">
        <f t="shared" si="8"/>
        <v>#DIV/0!</v>
      </c>
      <c r="Z22" s="176">
        <v>7</v>
      </c>
      <c r="AA22" s="177">
        <v>102.27</v>
      </c>
      <c r="AB22" s="271">
        <f t="shared" si="11"/>
        <v>14.61</v>
      </c>
      <c r="AC22" s="176">
        <v>6</v>
      </c>
      <c r="AD22" s="176">
        <v>42.620000000000005</v>
      </c>
      <c r="AE22" s="282">
        <f t="shared" si="9"/>
        <v>7.1033333333333344</v>
      </c>
      <c r="AF22" s="175">
        <v>668</v>
      </c>
      <c r="AG22" s="52">
        <f t="shared" si="0"/>
        <v>1.883812746756909</v>
      </c>
      <c r="AH22" s="176">
        <v>668.51</v>
      </c>
      <c r="AI22" s="235"/>
      <c r="AJ22" s="176">
        <v>1598.4074999999998</v>
      </c>
      <c r="AK22" s="176"/>
      <c r="AL22" s="227">
        <v>106</v>
      </c>
      <c r="AM22" s="260">
        <v>1178.1500000000001</v>
      </c>
      <c r="AN22" s="172">
        <f t="shared" si="12"/>
        <v>11.114622641509435</v>
      </c>
      <c r="AO22" s="258">
        <f t="shared" si="10"/>
        <v>30025.256200000003</v>
      </c>
    </row>
    <row r="23" spans="1:41" ht="20.100000000000001" customHeight="1" x14ac:dyDescent="0.25">
      <c r="A23" s="283">
        <v>18</v>
      </c>
      <c r="B23" s="175">
        <v>84</v>
      </c>
      <c r="C23" s="176">
        <v>94</v>
      </c>
      <c r="D23" s="165">
        <v>108</v>
      </c>
      <c r="E23" s="176"/>
      <c r="F23" s="165">
        <v>518</v>
      </c>
      <c r="G23" s="176"/>
      <c r="H23" s="52">
        <f t="shared" si="1"/>
        <v>304.8</v>
      </c>
      <c r="I23" s="177">
        <v>20121.194999999992</v>
      </c>
      <c r="J23" s="94">
        <f t="shared" si="2"/>
        <v>66.014419291338555</v>
      </c>
      <c r="K23" s="260">
        <v>1950.56</v>
      </c>
      <c r="L23" s="279">
        <f t="shared" si="3"/>
        <v>6.3994750656167971</v>
      </c>
      <c r="M23" s="280">
        <f t="shared" si="4"/>
        <v>72.413894356955353</v>
      </c>
      <c r="N23" s="204">
        <v>41.333333333333336</v>
      </c>
      <c r="O23" s="177">
        <v>1964.9850000000001</v>
      </c>
      <c r="P23" s="279">
        <f t="shared" si="5"/>
        <v>47.539959677419354</v>
      </c>
      <c r="Q23" s="298">
        <v>1</v>
      </c>
      <c r="R23" s="297">
        <v>1</v>
      </c>
      <c r="S23" s="297">
        <v>1</v>
      </c>
      <c r="T23" s="271">
        <f t="shared" si="6"/>
        <v>1</v>
      </c>
      <c r="U23" s="273">
        <v>61.29</v>
      </c>
      <c r="V23" s="289">
        <f t="shared" si="7"/>
        <v>61.29</v>
      </c>
      <c r="W23" s="239"/>
      <c r="X23" s="239"/>
      <c r="Y23" s="270" t="e">
        <f t="shared" si="8"/>
        <v>#DIV/0!</v>
      </c>
      <c r="Z23" s="176">
        <v>7</v>
      </c>
      <c r="AA23" s="177">
        <v>93.800000000000011</v>
      </c>
      <c r="AB23" s="271">
        <f t="shared" si="11"/>
        <v>13.400000000000002</v>
      </c>
      <c r="AC23" s="176">
        <v>6</v>
      </c>
      <c r="AD23" s="176">
        <v>42.21</v>
      </c>
      <c r="AE23" s="282">
        <f t="shared" si="9"/>
        <v>7.0350000000000001</v>
      </c>
      <c r="AF23" s="175"/>
      <c r="AG23" s="52">
        <f t="shared" si="0"/>
        <v>0</v>
      </c>
      <c r="AH23" s="176">
        <v>328.8</v>
      </c>
      <c r="AI23" s="235"/>
      <c r="AJ23" s="176">
        <v>1469.4224999999997</v>
      </c>
      <c r="AK23" s="176"/>
      <c r="AL23" s="227">
        <v>106</v>
      </c>
      <c r="AM23" s="260">
        <v>1019</v>
      </c>
      <c r="AN23" s="172">
        <f t="shared" si="12"/>
        <v>9.6132075471698109</v>
      </c>
      <c r="AO23" s="258">
        <f t="shared" si="10"/>
        <v>27051.262499999993</v>
      </c>
    </row>
    <row r="24" spans="1:41" ht="20.100000000000001" customHeight="1" x14ac:dyDescent="0.25">
      <c r="A24" s="283">
        <v>19</v>
      </c>
      <c r="B24" s="175">
        <v>202</v>
      </c>
      <c r="C24" s="176">
        <v>210</v>
      </c>
      <c r="D24" s="165">
        <v>270</v>
      </c>
      <c r="E24" s="176"/>
      <c r="F24" s="165">
        <v>580</v>
      </c>
      <c r="G24" s="176"/>
      <c r="H24" s="52">
        <f t="shared" si="1"/>
        <v>464.4</v>
      </c>
      <c r="I24" s="177">
        <v>32643.37</v>
      </c>
      <c r="J24" s="94">
        <f t="shared" si="2"/>
        <v>70.291494401378117</v>
      </c>
      <c r="K24" s="260">
        <v>2880.4100000000008</v>
      </c>
      <c r="L24" s="279">
        <f t="shared" si="3"/>
        <v>6.2024332472006911</v>
      </c>
      <c r="M24" s="280">
        <f t="shared" si="4"/>
        <v>76.493927648578818</v>
      </c>
      <c r="N24" s="204">
        <v>41</v>
      </c>
      <c r="O24" s="177">
        <v>1923.2349999999994</v>
      </c>
      <c r="P24" s="279">
        <f t="shared" si="5"/>
        <v>46.908170731707301</v>
      </c>
      <c r="Q24" s="110">
        <v>2</v>
      </c>
      <c r="R24" s="110">
        <v>2</v>
      </c>
      <c r="S24" s="110">
        <v>2</v>
      </c>
      <c r="T24" s="271">
        <f t="shared" si="6"/>
        <v>2</v>
      </c>
      <c r="U24" s="273">
        <v>99.72</v>
      </c>
      <c r="V24" s="289">
        <f t="shared" si="7"/>
        <v>49.86</v>
      </c>
      <c r="W24" s="239"/>
      <c r="X24" s="239"/>
      <c r="Y24" s="270" t="e">
        <f t="shared" si="8"/>
        <v>#DIV/0!</v>
      </c>
      <c r="Z24" s="176">
        <v>32</v>
      </c>
      <c r="AA24" s="177">
        <v>340.90000000000003</v>
      </c>
      <c r="AB24" s="271">
        <f t="shared" si="11"/>
        <v>10.653125000000001</v>
      </c>
      <c r="AC24" s="176">
        <v>266</v>
      </c>
      <c r="AD24" s="176">
        <v>1588.46</v>
      </c>
      <c r="AE24" s="282">
        <f t="shared" si="9"/>
        <v>5.9716541353383459</v>
      </c>
      <c r="AF24" s="175">
        <v>577.19999999999993</v>
      </c>
      <c r="AG24" s="52">
        <f t="shared" si="0"/>
        <v>1.1420656905421447</v>
      </c>
      <c r="AH24" s="176">
        <v>328.8</v>
      </c>
      <c r="AI24" s="235"/>
      <c r="AJ24" s="176">
        <v>981.25249999999994</v>
      </c>
      <c r="AK24" s="176"/>
      <c r="AL24" s="227">
        <v>106</v>
      </c>
      <c r="AM24" s="260">
        <v>1032.6500000000001</v>
      </c>
      <c r="AN24" s="172">
        <f t="shared" si="12"/>
        <v>9.7419811320754732</v>
      </c>
      <c r="AO24" s="258">
        <f t="shared" si="10"/>
        <v>42395.997499999998</v>
      </c>
    </row>
    <row r="25" spans="1:41" ht="20.100000000000001" customHeight="1" x14ac:dyDescent="0.25">
      <c r="A25" s="283">
        <v>20</v>
      </c>
      <c r="B25" s="164">
        <v>204</v>
      </c>
      <c r="C25" s="165">
        <v>209</v>
      </c>
      <c r="D25" s="176">
        <v>291</v>
      </c>
      <c r="E25" s="176"/>
      <c r="F25" s="165">
        <v>539</v>
      </c>
      <c r="G25" s="176"/>
      <c r="H25" s="52">
        <f t="shared" si="1"/>
        <v>456.40000000000003</v>
      </c>
      <c r="I25" s="177">
        <v>30896.667199999996</v>
      </c>
      <c r="J25" s="94">
        <f t="shared" si="2"/>
        <v>67.696466257668703</v>
      </c>
      <c r="K25" s="260">
        <v>3089.8199999999997</v>
      </c>
      <c r="L25" s="279">
        <f t="shared" si="3"/>
        <v>6.7699824715162125</v>
      </c>
      <c r="M25" s="280">
        <f t="shared" si="4"/>
        <v>74.466448729184904</v>
      </c>
      <c r="N25" s="204">
        <v>40.666666666666664</v>
      </c>
      <c r="O25" s="177">
        <v>2067.8199999999997</v>
      </c>
      <c r="P25" s="279">
        <f t="shared" si="5"/>
        <v>50.848032786885241</v>
      </c>
      <c r="Q25" s="110">
        <v>2</v>
      </c>
      <c r="R25" s="110">
        <v>2</v>
      </c>
      <c r="S25" s="110">
        <v>2</v>
      </c>
      <c r="T25" s="271">
        <f t="shared" si="6"/>
        <v>2</v>
      </c>
      <c r="U25" s="273">
        <v>92.71</v>
      </c>
      <c r="V25" s="289">
        <f t="shared" si="7"/>
        <v>46.354999999999997</v>
      </c>
      <c r="W25" s="239"/>
      <c r="X25" s="239"/>
      <c r="Y25" s="270" t="e">
        <f t="shared" si="8"/>
        <v>#DIV/0!</v>
      </c>
      <c r="Z25" s="176">
        <v>65</v>
      </c>
      <c r="AA25" s="177">
        <v>909.90000000000009</v>
      </c>
      <c r="AB25" s="271">
        <f t="shared" si="11"/>
        <v>13.998461538461539</v>
      </c>
      <c r="AC25" s="176">
        <v>123</v>
      </c>
      <c r="AD25" s="176">
        <v>771.05000000000007</v>
      </c>
      <c r="AE25" s="282">
        <f t="shared" si="9"/>
        <v>6.2686991869918707</v>
      </c>
      <c r="AF25" s="175">
        <v>306</v>
      </c>
      <c r="AG25" s="52">
        <f t="shared" si="0"/>
        <v>0.61561158798283255</v>
      </c>
      <c r="AH25" s="176">
        <v>1048.54</v>
      </c>
      <c r="AI25" s="235"/>
      <c r="AJ25" s="176">
        <v>1580.8524999999997</v>
      </c>
      <c r="AK25" s="176"/>
      <c r="AL25" s="227">
        <v>106</v>
      </c>
      <c r="AM25" s="260">
        <v>1058.8700000000001</v>
      </c>
      <c r="AN25" s="172">
        <f t="shared" si="12"/>
        <v>9.989339622641511</v>
      </c>
      <c r="AO25" s="258">
        <f t="shared" si="10"/>
        <v>41822.229699999996</v>
      </c>
    </row>
    <row r="26" spans="1:41" ht="20.100000000000001" customHeight="1" x14ac:dyDescent="0.25">
      <c r="A26" s="283">
        <v>21</v>
      </c>
      <c r="B26" s="164">
        <v>203</v>
      </c>
      <c r="C26" s="165">
        <v>210</v>
      </c>
      <c r="D26" s="176">
        <v>281</v>
      </c>
      <c r="E26" s="176"/>
      <c r="F26" s="165">
        <v>546</v>
      </c>
      <c r="G26" s="176"/>
      <c r="H26" s="52">
        <f t="shared" si="1"/>
        <v>455.40000000000003</v>
      </c>
      <c r="I26" s="177">
        <v>31558.205000000005</v>
      </c>
      <c r="J26" s="94">
        <f t="shared" si="2"/>
        <v>69.297771190162507</v>
      </c>
      <c r="K26" s="260">
        <v>1890.45</v>
      </c>
      <c r="L26" s="279">
        <f t="shared" si="3"/>
        <v>4.1511857707509883</v>
      </c>
      <c r="M26" s="280">
        <f t="shared" si="4"/>
        <v>73.448956960913492</v>
      </c>
      <c r="N26" s="204">
        <v>40.666666666666664</v>
      </c>
      <c r="O26" s="177">
        <v>1909.645</v>
      </c>
      <c r="P26" s="279">
        <f t="shared" si="5"/>
        <v>46.95848360655738</v>
      </c>
      <c r="Q26" s="110">
        <v>2</v>
      </c>
      <c r="R26" s="110">
        <v>2</v>
      </c>
      <c r="S26" s="110">
        <v>2</v>
      </c>
      <c r="T26" s="271">
        <f t="shared" si="6"/>
        <v>2</v>
      </c>
      <c r="U26" s="273">
        <v>114</v>
      </c>
      <c r="V26" s="289">
        <f t="shared" si="7"/>
        <v>57</v>
      </c>
      <c r="W26" s="239"/>
      <c r="X26" s="239"/>
      <c r="Y26" s="270" t="e">
        <f t="shared" si="8"/>
        <v>#DIV/0!</v>
      </c>
      <c r="Z26" s="176">
        <v>41</v>
      </c>
      <c r="AA26" s="177">
        <v>560.42999999999995</v>
      </c>
      <c r="AB26" s="271">
        <f t="shared" si="11"/>
        <v>13.669024390243901</v>
      </c>
      <c r="AC26" s="176">
        <v>143</v>
      </c>
      <c r="AD26" s="176">
        <v>971.16000000000008</v>
      </c>
      <c r="AE26" s="282">
        <f t="shared" si="9"/>
        <v>6.7913286713286718</v>
      </c>
      <c r="AF26" s="175">
        <v>316</v>
      </c>
      <c r="AG26" s="52">
        <f t="shared" si="0"/>
        <v>0.63701115441472911</v>
      </c>
      <c r="AH26" s="176">
        <v>236.6</v>
      </c>
      <c r="AI26" s="235"/>
      <c r="AJ26" s="176">
        <v>1239.9774999999997</v>
      </c>
      <c r="AK26" s="176"/>
      <c r="AL26" s="227">
        <v>106</v>
      </c>
      <c r="AM26" s="260">
        <v>1009.4999999999999</v>
      </c>
      <c r="AN26" s="172">
        <f t="shared" si="12"/>
        <v>9.5235849056603765</v>
      </c>
      <c r="AO26" s="258">
        <f t="shared" si="10"/>
        <v>39805.967500000006</v>
      </c>
    </row>
    <row r="27" spans="1:41" ht="20.100000000000001" customHeight="1" x14ac:dyDescent="0.25">
      <c r="A27" s="283">
        <v>22</v>
      </c>
      <c r="B27" s="164">
        <v>204</v>
      </c>
      <c r="C27" s="165">
        <v>209</v>
      </c>
      <c r="D27" s="176">
        <v>226</v>
      </c>
      <c r="E27" s="176"/>
      <c r="F27" s="165">
        <v>537</v>
      </c>
      <c r="G27" s="176"/>
      <c r="H27" s="52">
        <f t="shared" si="1"/>
        <v>429.6</v>
      </c>
      <c r="I27" s="177">
        <v>29626.320199999991</v>
      </c>
      <c r="J27" s="94">
        <f t="shared" si="2"/>
        <v>68.962570297951558</v>
      </c>
      <c r="K27" s="260">
        <v>2431.17</v>
      </c>
      <c r="L27" s="279">
        <f t="shared" si="3"/>
        <v>5.6591480446927376</v>
      </c>
      <c r="M27" s="280">
        <f t="shared" si="4"/>
        <v>74.6217183426443</v>
      </c>
      <c r="N27" s="204">
        <v>40</v>
      </c>
      <c r="O27" s="177">
        <v>2274.8250000000003</v>
      </c>
      <c r="P27" s="279">
        <f t="shared" si="5"/>
        <v>56.870625000000004</v>
      </c>
      <c r="Q27" s="110">
        <v>2</v>
      </c>
      <c r="R27" s="110">
        <v>2</v>
      </c>
      <c r="S27" s="110">
        <v>2</v>
      </c>
      <c r="T27" s="271">
        <f t="shared" si="6"/>
        <v>2</v>
      </c>
      <c r="U27" s="273">
        <v>90.94</v>
      </c>
      <c r="V27" s="289">
        <f t="shared" si="7"/>
        <v>45.47</v>
      </c>
      <c r="W27" s="239">
        <v>70</v>
      </c>
      <c r="X27" s="239">
        <v>3364.68</v>
      </c>
      <c r="Y27" s="270">
        <f t="shared" si="8"/>
        <v>48.066857142857138</v>
      </c>
      <c r="Z27" s="176">
        <v>22</v>
      </c>
      <c r="AA27" s="177">
        <v>302.19</v>
      </c>
      <c r="AB27" s="271">
        <f t="shared" si="11"/>
        <v>13.735909090909091</v>
      </c>
      <c r="AC27" s="176">
        <v>133</v>
      </c>
      <c r="AD27" s="176">
        <v>900.52</v>
      </c>
      <c r="AE27" s="282">
        <f t="shared" si="9"/>
        <v>6.7708270676691731</v>
      </c>
      <c r="AF27" s="175">
        <v>619.9</v>
      </c>
      <c r="AG27" s="52">
        <f t="shared" si="0"/>
        <v>1.3200596252129471</v>
      </c>
      <c r="AH27" s="176">
        <v>741.01</v>
      </c>
      <c r="AI27" s="235"/>
      <c r="AJ27" s="176">
        <v>2125.5524999999998</v>
      </c>
      <c r="AK27" s="176"/>
      <c r="AL27" s="227">
        <v>106</v>
      </c>
      <c r="AM27" s="260">
        <v>1069.8</v>
      </c>
      <c r="AN27" s="172">
        <f t="shared" si="12"/>
        <v>10.092452830188678</v>
      </c>
      <c r="AO27" s="258">
        <f t="shared" si="10"/>
        <v>43546.907699999996</v>
      </c>
    </row>
    <row r="28" spans="1:41" ht="20.100000000000001" customHeight="1" x14ac:dyDescent="0.25">
      <c r="A28" s="283">
        <v>23</v>
      </c>
      <c r="B28" s="164">
        <v>205</v>
      </c>
      <c r="C28" s="165">
        <v>210</v>
      </c>
      <c r="D28" s="165">
        <v>205</v>
      </c>
      <c r="E28" s="176"/>
      <c r="F28" s="165">
        <v>522</v>
      </c>
      <c r="G28" s="176"/>
      <c r="H28" s="52">
        <f t="shared" si="1"/>
        <v>415.8</v>
      </c>
      <c r="I28" s="177">
        <v>31031.825000000001</v>
      </c>
      <c r="J28" s="94">
        <f t="shared" si="2"/>
        <v>74.63161375661376</v>
      </c>
      <c r="K28" s="260">
        <v>3468.3100000000009</v>
      </c>
      <c r="L28" s="279">
        <f t="shared" si="3"/>
        <v>8.3412938912938923</v>
      </c>
      <c r="M28" s="280">
        <f t="shared" si="4"/>
        <v>82.972907647907647</v>
      </c>
      <c r="N28" s="175">
        <v>41</v>
      </c>
      <c r="O28" s="177">
        <v>2005.9349999999999</v>
      </c>
      <c r="P28" s="279">
        <f t="shared" si="5"/>
        <v>48.925243902439021</v>
      </c>
      <c r="Q28" s="110">
        <v>1</v>
      </c>
      <c r="R28" s="110">
        <v>0</v>
      </c>
      <c r="S28" s="110">
        <v>0</v>
      </c>
      <c r="T28" s="271">
        <f t="shared" si="6"/>
        <v>0.2</v>
      </c>
      <c r="U28" s="273">
        <v>14.45</v>
      </c>
      <c r="V28" s="289">
        <f t="shared" si="7"/>
        <v>72.249999999999986</v>
      </c>
      <c r="W28" s="239"/>
      <c r="X28" s="239"/>
      <c r="Y28" s="270" t="e">
        <f t="shared" si="8"/>
        <v>#DIV/0!</v>
      </c>
      <c r="Z28" s="176">
        <v>11</v>
      </c>
      <c r="AA28" s="177">
        <v>167.85999999999999</v>
      </c>
      <c r="AB28" s="271">
        <f t="shared" si="11"/>
        <v>15.259999999999998</v>
      </c>
      <c r="AC28" s="176">
        <v>131</v>
      </c>
      <c r="AD28" s="176">
        <v>903.43000000000006</v>
      </c>
      <c r="AE28" s="282">
        <f t="shared" si="9"/>
        <v>6.8964122137404589</v>
      </c>
      <c r="AF28" s="175">
        <v>618</v>
      </c>
      <c r="AG28" s="52">
        <f t="shared" si="0"/>
        <v>1.3528896672504378</v>
      </c>
      <c r="AH28" s="176">
        <v>328.8</v>
      </c>
      <c r="AI28" s="235"/>
      <c r="AJ28" s="176">
        <v>1290.4424999999997</v>
      </c>
      <c r="AK28" s="176"/>
      <c r="AL28" s="227">
        <v>106</v>
      </c>
      <c r="AM28" s="260">
        <v>1033.9000000000001</v>
      </c>
      <c r="AN28" s="172">
        <f t="shared" si="12"/>
        <v>9.7537735849056606</v>
      </c>
      <c r="AO28" s="258">
        <f t="shared" si="10"/>
        <v>40862.952499999999</v>
      </c>
    </row>
    <row r="29" spans="1:41" ht="20.100000000000001" customHeight="1" x14ac:dyDescent="0.25">
      <c r="A29" s="283">
        <v>24</v>
      </c>
      <c r="B29" s="164">
        <v>85</v>
      </c>
      <c r="C29" s="165">
        <v>95</v>
      </c>
      <c r="D29" s="165">
        <v>108</v>
      </c>
      <c r="E29" s="176"/>
      <c r="F29" s="165">
        <v>506</v>
      </c>
      <c r="G29" s="176"/>
      <c r="H29" s="52">
        <f t="shared" si="1"/>
        <v>300.60000000000002</v>
      </c>
      <c r="I29" s="177">
        <v>22115.055</v>
      </c>
      <c r="J29" s="94">
        <f t="shared" si="2"/>
        <v>73.569710578842304</v>
      </c>
      <c r="K29" s="260">
        <v>2502.33</v>
      </c>
      <c r="L29" s="279">
        <f t="shared" si="3"/>
        <v>8.3244510978043902</v>
      </c>
      <c r="M29" s="280">
        <f t="shared" si="4"/>
        <v>81.894161676646704</v>
      </c>
      <c r="N29" s="175">
        <v>41</v>
      </c>
      <c r="O29" s="177">
        <v>2406.1949999999993</v>
      </c>
      <c r="P29" s="279">
        <f t="shared" si="5"/>
        <v>58.687682926829247</v>
      </c>
      <c r="Q29" s="110">
        <v>0</v>
      </c>
      <c r="R29" s="110">
        <v>0</v>
      </c>
      <c r="S29" s="110">
        <v>0</v>
      </c>
      <c r="T29" s="271">
        <f t="shared" si="6"/>
        <v>0</v>
      </c>
      <c r="U29" s="273"/>
      <c r="V29" s="289" t="e">
        <f t="shared" si="7"/>
        <v>#DIV/0!</v>
      </c>
      <c r="W29" s="239"/>
      <c r="X29" s="239"/>
      <c r="Y29" s="270" t="e">
        <f t="shared" si="8"/>
        <v>#DIV/0!</v>
      </c>
      <c r="Z29" s="176">
        <v>7</v>
      </c>
      <c r="AA29" s="177">
        <v>75.040000000000006</v>
      </c>
      <c r="AB29" s="271">
        <f t="shared" si="11"/>
        <v>10.72</v>
      </c>
      <c r="AC29" s="176">
        <v>6</v>
      </c>
      <c r="AD29" s="176">
        <v>46.900000000000006</v>
      </c>
      <c r="AE29" s="282">
        <f t="shared" si="9"/>
        <v>7.8166666666666673</v>
      </c>
      <c r="AF29" s="175">
        <v>592.4</v>
      </c>
      <c r="AG29" s="52">
        <f t="shared" si="0"/>
        <v>1.7341920374707258</v>
      </c>
      <c r="AH29" s="176">
        <v>865.52</v>
      </c>
      <c r="AI29" s="235"/>
      <c r="AJ29" s="176"/>
      <c r="AK29" s="176"/>
      <c r="AL29" s="227">
        <v>106</v>
      </c>
      <c r="AM29" s="260">
        <v>1041.25</v>
      </c>
      <c r="AN29" s="172">
        <f t="shared" si="12"/>
        <v>9.8231132075471699</v>
      </c>
      <c r="AO29" s="258">
        <f t="shared" si="10"/>
        <v>29644.69</v>
      </c>
    </row>
    <row r="30" spans="1:41" ht="20.100000000000001" customHeight="1" x14ac:dyDescent="0.25">
      <c r="A30" s="283">
        <v>25</v>
      </c>
      <c r="B30" s="164">
        <v>84</v>
      </c>
      <c r="C30" s="165">
        <v>94</v>
      </c>
      <c r="D30" s="165">
        <v>85</v>
      </c>
      <c r="E30" s="176"/>
      <c r="F30" s="165">
        <v>506</v>
      </c>
      <c r="G30" s="176"/>
      <c r="H30" s="52">
        <f t="shared" si="1"/>
        <v>290.8</v>
      </c>
      <c r="I30" s="177">
        <v>13113.9378</v>
      </c>
      <c r="J30" s="94">
        <f t="shared" si="2"/>
        <v>45.096072214580467</v>
      </c>
      <c r="K30" s="261">
        <v>2208.89</v>
      </c>
      <c r="L30" s="279">
        <f t="shared" si="3"/>
        <v>7.5959078404401641</v>
      </c>
      <c r="M30" s="280">
        <f t="shared" si="4"/>
        <v>52.691980055020629</v>
      </c>
      <c r="N30" s="175">
        <v>41</v>
      </c>
      <c r="O30" s="177">
        <v>2374.6149999999998</v>
      </c>
      <c r="P30" s="279">
        <f t="shared" si="5"/>
        <v>57.917439024390241</v>
      </c>
      <c r="Q30" s="298">
        <v>1</v>
      </c>
      <c r="R30" s="297">
        <v>1</v>
      </c>
      <c r="S30" s="297">
        <v>1</v>
      </c>
      <c r="T30" s="271">
        <f t="shared" si="6"/>
        <v>1</v>
      </c>
      <c r="U30" s="273">
        <v>48.64</v>
      </c>
      <c r="V30" s="289">
        <f t="shared" si="7"/>
        <v>48.64</v>
      </c>
      <c r="W30" s="239"/>
      <c r="X30" s="239"/>
      <c r="Y30" s="270" t="e">
        <f t="shared" si="8"/>
        <v>#DIV/0!</v>
      </c>
      <c r="Z30" s="176">
        <v>7</v>
      </c>
      <c r="AA30" s="177">
        <v>93.800000000000011</v>
      </c>
      <c r="AB30" s="271">
        <f t="shared" si="11"/>
        <v>13.400000000000002</v>
      </c>
      <c r="AC30" s="176">
        <v>6</v>
      </c>
      <c r="AD30" s="176">
        <v>46.900000000000006</v>
      </c>
      <c r="AE30" s="282">
        <f t="shared" si="9"/>
        <v>7.8166666666666673</v>
      </c>
      <c r="AF30" s="175">
        <v>700</v>
      </c>
      <c r="AG30" s="52">
        <f t="shared" si="0"/>
        <v>2.109704641350211</v>
      </c>
      <c r="AH30" s="176">
        <v>361.68</v>
      </c>
      <c r="AI30" s="235"/>
      <c r="AJ30" s="235"/>
      <c r="AK30" s="176"/>
      <c r="AL30" s="227">
        <v>106</v>
      </c>
      <c r="AM30" s="260">
        <v>1106.9000000000001</v>
      </c>
      <c r="AN30" s="172">
        <f t="shared" si="12"/>
        <v>10.44245283018868</v>
      </c>
      <c r="AO30" s="258">
        <f t="shared" si="10"/>
        <v>20055.362799999999</v>
      </c>
    </row>
    <row r="31" spans="1:41" ht="20.100000000000001" customHeight="1" x14ac:dyDescent="0.25">
      <c r="A31" s="283">
        <v>26</v>
      </c>
      <c r="B31" s="164">
        <v>205</v>
      </c>
      <c r="C31" s="165">
        <v>209</v>
      </c>
      <c r="D31" s="165">
        <v>326</v>
      </c>
      <c r="E31" s="176"/>
      <c r="F31" s="165">
        <v>536</v>
      </c>
      <c r="G31" s="176"/>
      <c r="H31" s="52">
        <f t="shared" si="1"/>
        <v>469.40000000000003</v>
      </c>
      <c r="I31" s="177">
        <v>19345.6178</v>
      </c>
      <c r="J31" s="94">
        <f t="shared" si="2"/>
        <v>41.213501917341283</v>
      </c>
      <c r="K31" s="261">
        <v>2448.6900000000005</v>
      </c>
      <c r="L31" s="279">
        <f t="shared" si="3"/>
        <v>5.2166382616105675</v>
      </c>
      <c r="M31" s="280">
        <f t="shared" si="4"/>
        <v>46.430140178951852</v>
      </c>
      <c r="N31" s="175">
        <v>40</v>
      </c>
      <c r="O31" s="177">
        <v>1944.7350000000001</v>
      </c>
      <c r="P31" s="279">
        <f t="shared" si="5"/>
        <v>48.618375</v>
      </c>
      <c r="Q31" s="298">
        <v>1</v>
      </c>
      <c r="R31" s="297">
        <v>1</v>
      </c>
      <c r="S31" s="297">
        <v>1</v>
      </c>
      <c r="T31" s="271">
        <f t="shared" si="6"/>
        <v>1</v>
      </c>
      <c r="U31" s="273">
        <v>57.98</v>
      </c>
      <c r="V31" s="289">
        <f t="shared" si="7"/>
        <v>57.98</v>
      </c>
      <c r="W31" s="239"/>
      <c r="X31" s="239"/>
      <c r="Y31" s="270" t="e">
        <f t="shared" si="8"/>
        <v>#DIV/0!</v>
      </c>
      <c r="Z31" s="176">
        <v>32</v>
      </c>
      <c r="AA31" s="177">
        <v>431.48</v>
      </c>
      <c r="AB31" s="271">
        <f t="shared" si="11"/>
        <v>13.483750000000001</v>
      </c>
      <c r="AC31" s="176">
        <v>272</v>
      </c>
      <c r="AD31" s="176">
        <v>1824</v>
      </c>
      <c r="AE31" s="282">
        <f t="shared" si="9"/>
        <v>6.7058823529411766</v>
      </c>
      <c r="AF31" s="175">
        <v>600.95000000000005</v>
      </c>
      <c r="AG31" s="52">
        <f t="shared" si="0"/>
        <v>1.1797212406753044</v>
      </c>
      <c r="AH31" s="176">
        <v>707.83999999999992</v>
      </c>
      <c r="AI31" s="235"/>
      <c r="AJ31" s="176">
        <v>5155.8725000000004</v>
      </c>
      <c r="AK31" s="176"/>
      <c r="AL31" s="227">
        <v>106</v>
      </c>
      <c r="AM31" s="260">
        <v>1101.6500000000001</v>
      </c>
      <c r="AN31" s="172">
        <f t="shared" si="12"/>
        <v>10.392924528301888</v>
      </c>
      <c r="AO31" s="258">
        <f t="shared" si="10"/>
        <v>33618.815300000002</v>
      </c>
    </row>
    <row r="32" spans="1:41" ht="20.100000000000001" customHeight="1" x14ac:dyDescent="0.25">
      <c r="A32" s="283">
        <v>27</v>
      </c>
      <c r="B32" s="164">
        <v>204</v>
      </c>
      <c r="C32" s="165">
        <v>208</v>
      </c>
      <c r="D32" s="176">
        <v>281</v>
      </c>
      <c r="E32" s="176"/>
      <c r="F32" s="165">
        <v>539</v>
      </c>
      <c r="G32" s="176"/>
      <c r="H32" s="52">
        <f t="shared" si="1"/>
        <v>452.00000000000006</v>
      </c>
      <c r="I32" s="177">
        <v>20427.717000000008</v>
      </c>
      <c r="J32" s="94">
        <f t="shared" si="2"/>
        <v>45.194064159292047</v>
      </c>
      <c r="K32" s="261">
        <v>2098.62</v>
      </c>
      <c r="L32" s="279">
        <f t="shared" si="3"/>
        <v>4.6429646017699104</v>
      </c>
      <c r="M32" s="280">
        <f t="shared" si="4"/>
        <v>49.837028761061958</v>
      </c>
      <c r="N32" s="175">
        <v>40</v>
      </c>
      <c r="O32" s="177">
        <v>2068.6659999999997</v>
      </c>
      <c r="P32" s="279">
        <f t="shared" si="5"/>
        <v>51.716649999999994</v>
      </c>
      <c r="Q32" s="298">
        <v>2</v>
      </c>
      <c r="R32" s="297">
        <v>3</v>
      </c>
      <c r="S32" s="297">
        <v>3</v>
      </c>
      <c r="T32" s="271">
        <f t="shared" si="6"/>
        <v>2.8000000000000003</v>
      </c>
      <c r="U32" s="273">
        <v>106.62</v>
      </c>
      <c r="V32" s="289">
        <f t="shared" si="7"/>
        <v>38.078571428571429</v>
      </c>
      <c r="W32" s="239">
        <v>25</v>
      </c>
      <c r="X32" s="239">
        <v>1624.77</v>
      </c>
      <c r="Y32" s="270">
        <f t="shared" si="8"/>
        <v>64.990799999999993</v>
      </c>
      <c r="Z32" s="176">
        <v>35</v>
      </c>
      <c r="AA32" s="177">
        <v>443.85</v>
      </c>
      <c r="AB32" s="271">
        <f t="shared" si="11"/>
        <v>12.681428571428572</v>
      </c>
      <c r="AC32" s="176">
        <v>133</v>
      </c>
      <c r="AD32" s="176">
        <v>853.66999999999985</v>
      </c>
      <c r="AE32" s="282">
        <f t="shared" si="9"/>
        <v>6.4185714285714273</v>
      </c>
      <c r="AF32" s="175">
        <v>1110.02</v>
      </c>
      <c r="AG32" s="52">
        <f t="shared" si="0"/>
        <v>2.2561382113821136</v>
      </c>
      <c r="AH32" s="176">
        <v>835.38</v>
      </c>
      <c r="AI32" s="235"/>
      <c r="AJ32" s="176">
        <v>1368.7724999999996</v>
      </c>
      <c r="AK32" s="176">
        <v>2754</v>
      </c>
      <c r="AL32" s="227">
        <v>106</v>
      </c>
      <c r="AM32" s="260">
        <v>1007.4000000000001</v>
      </c>
      <c r="AN32" s="172">
        <f t="shared" si="12"/>
        <v>9.5037735849056606</v>
      </c>
      <c r="AO32" s="258">
        <f t="shared" si="10"/>
        <v>34699.48550000001</v>
      </c>
    </row>
    <row r="33" spans="1:41" ht="20.100000000000001" customHeight="1" x14ac:dyDescent="0.25">
      <c r="A33" s="283">
        <v>28</v>
      </c>
      <c r="B33" s="164">
        <v>201</v>
      </c>
      <c r="C33" s="165">
        <v>210</v>
      </c>
      <c r="D33" s="176">
        <v>255</v>
      </c>
      <c r="E33" s="176"/>
      <c r="F33" s="165">
        <v>541</v>
      </c>
      <c r="G33" s="176"/>
      <c r="H33" s="52">
        <f t="shared" si="1"/>
        <v>442.6</v>
      </c>
      <c r="I33" s="177">
        <v>22031.224999999991</v>
      </c>
      <c r="J33" s="94">
        <f t="shared" si="2"/>
        <v>49.776830094893789</v>
      </c>
      <c r="K33" s="261">
        <v>2290.9900000000002</v>
      </c>
      <c r="L33" s="279">
        <f t="shared" si="3"/>
        <v>5.176208766380479</v>
      </c>
      <c r="M33" s="280">
        <f t="shared" si="4"/>
        <v>54.953038861274273</v>
      </c>
      <c r="N33" s="175">
        <v>40</v>
      </c>
      <c r="O33" s="177">
        <v>2322.1049999999996</v>
      </c>
      <c r="P33" s="279">
        <f t="shared" si="5"/>
        <v>58.052624999999992</v>
      </c>
      <c r="Q33" s="298">
        <v>3</v>
      </c>
      <c r="R33" s="297">
        <v>3</v>
      </c>
      <c r="S33" s="297">
        <v>3</v>
      </c>
      <c r="T33" s="271">
        <f t="shared" si="6"/>
        <v>3.0000000000000004</v>
      </c>
      <c r="U33" s="273">
        <v>228.58</v>
      </c>
      <c r="V33" s="289">
        <f t="shared" si="7"/>
        <v>76.193333333333328</v>
      </c>
      <c r="W33" s="239"/>
      <c r="X33" s="239"/>
      <c r="Y33" s="270" t="e">
        <f t="shared" si="8"/>
        <v>#DIV/0!</v>
      </c>
      <c r="Z33" s="176">
        <v>31</v>
      </c>
      <c r="AA33" s="176">
        <v>477.33</v>
      </c>
      <c r="AB33" s="271">
        <f t="shared" si="11"/>
        <v>15.39774193548387</v>
      </c>
      <c r="AC33" s="176">
        <v>143</v>
      </c>
      <c r="AD33" s="176">
        <v>970.17000000000007</v>
      </c>
      <c r="AE33" s="282">
        <f t="shared" si="9"/>
        <v>6.7844055944055945</v>
      </c>
      <c r="AF33" s="175">
        <v>565.45000000000005</v>
      </c>
      <c r="AG33" s="52">
        <f t="shared" si="0"/>
        <v>1.1716742644011604</v>
      </c>
      <c r="AH33" s="176">
        <v>447.96</v>
      </c>
      <c r="AI33" s="235"/>
      <c r="AJ33" s="176">
        <v>1198.0625</v>
      </c>
      <c r="AK33" s="176"/>
      <c r="AL33" s="227">
        <v>106</v>
      </c>
      <c r="AM33" s="260">
        <v>1112.1500000000001</v>
      </c>
      <c r="AN33" s="172">
        <f t="shared" si="12"/>
        <v>10.491981132075473</v>
      </c>
      <c r="AO33" s="258">
        <f t="shared" si="10"/>
        <v>31644.022499999992</v>
      </c>
    </row>
    <row r="34" spans="1:41" ht="20.100000000000001" customHeight="1" x14ac:dyDescent="0.25">
      <c r="A34" s="283">
        <v>29</v>
      </c>
      <c r="B34" s="164">
        <v>205</v>
      </c>
      <c r="C34" s="165">
        <v>209</v>
      </c>
      <c r="D34" s="176">
        <v>227</v>
      </c>
      <c r="E34" s="176"/>
      <c r="F34" s="165">
        <v>548</v>
      </c>
      <c r="G34" s="176"/>
      <c r="H34" s="52">
        <f t="shared" si="1"/>
        <v>434.6</v>
      </c>
      <c r="I34" s="177">
        <v>24663.302699999993</v>
      </c>
      <c r="J34" s="94">
        <f t="shared" si="2"/>
        <v>56.749430971007804</v>
      </c>
      <c r="K34" s="261">
        <v>1906.34</v>
      </c>
      <c r="L34" s="279">
        <f t="shared" si="3"/>
        <v>4.3864242982052462</v>
      </c>
      <c r="M34" s="280">
        <f t="shared" si="4"/>
        <v>61.135855269213053</v>
      </c>
      <c r="N34" s="175">
        <v>40</v>
      </c>
      <c r="O34" s="177">
        <v>2479.4449999999997</v>
      </c>
      <c r="P34" s="279">
        <f t="shared" si="5"/>
        <v>61.986124999999994</v>
      </c>
      <c r="Q34" s="298">
        <v>3</v>
      </c>
      <c r="R34" s="297">
        <v>3</v>
      </c>
      <c r="S34" s="297">
        <v>3</v>
      </c>
      <c r="T34" s="271">
        <f t="shared" si="6"/>
        <v>3.0000000000000004</v>
      </c>
      <c r="U34" s="273">
        <v>118.5</v>
      </c>
      <c r="V34" s="289">
        <f t="shared" si="7"/>
        <v>39.499999999999993</v>
      </c>
      <c r="W34" s="239"/>
      <c r="X34" s="239"/>
      <c r="Y34" s="270" t="e">
        <f t="shared" si="8"/>
        <v>#DIV/0!</v>
      </c>
      <c r="Z34" s="176">
        <v>11</v>
      </c>
      <c r="AA34" s="177">
        <v>145.39000000000001</v>
      </c>
      <c r="AB34" s="271">
        <f t="shared" si="11"/>
        <v>13.217272727272729</v>
      </c>
      <c r="AC34" s="176">
        <v>133</v>
      </c>
      <c r="AD34" s="176">
        <v>925.70999999999992</v>
      </c>
      <c r="AE34" s="282">
        <f t="shared" si="9"/>
        <v>6.9602255639097734</v>
      </c>
      <c r="AF34" s="175">
        <v>674</v>
      </c>
      <c r="AG34" s="52">
        <f t="shared" si="0"/>
        <v>1.420143278550358</v>
      </c>
      <c r="AH34" s="176">
        <v>272.52</v>
      </c>
      <c r="AI34" s="235"/>
      <c r="AJ34" s="176">
        <v>1215.1725000000001</v>
      </c>
      <c r="AK34" s="176"/>
      <c r="AL34" s="227">
        <v>106</v>
      </c>
      <c r="AM34" s="260">
        <v>1349</v>
      </c>
      <c r="AN34" s="172">
        <f t="shared" si="12"/>
        <v>12.726415094339623</v>
      </c>
      <c r="AO34" s="258">
        <f t="shared" si="10"/>
        <v>33749.380199999992</v>
      </c>
    </row>
    <row r="35" spans="1:41" ht="20.100000000000001" customHeight="1" x14ac:dyDescent="0.25">
      <c r="A35" s="283">
        <v>30</v>
      </c>
      <c r="B35" s="164">
        <v>204</v>
      </c>
      <c r="C35" s="165">
        <v>208</v>
      </c>
      <c r="D35" s="176">
        <v>205</v>
      </c>
      <c r="E35" s="176"/>
      <c r="F35" s="165">
        <v>528</v>
      </c>
      <c r="G35" s="185"/>
      <c r="H35" s="52">
        <f t="shared" si="1"/>
        <v>417.20000000000005</v>
      </c>
      <c r="I35" s="177">
        <v>20836.849999999995</v>
      </c>
      <c r="J35" s="94">
        <f t="shared" si="2"/>
        <v>49.944511025886847</v>
      </c>
      <c r="K35" s="261">
        <v>2146.6099999999997</v>
      </c>
      <c r="L35" s="279">
        <f t="shared" si="3"/>
        <v>5.1452780441035459</v>
      </c>
      <c r="M35" s="280">
        <f t="shared" si="4"/>
        <v>55.089789069990395</v>
      </c>
      <c r="N35" s="175">
        <v>40</v>
      </c>
      <c r="O35" s="177">
        <v>2346.1549999999993</v>
      </c>
      <c r="P35" s="279">
        <f t="shared" si="5"/>
        <v>58.653874999999985</v>
      </c>
      <c r="Q35" s="298">
        <v>3</v>
      </c>
      <c r="R35" s="297">
        <v>3</v>
      </c>
      <c r="S35" s="297">
        <v>3</v>
      </c>
      <c r="T35" s="271">
        <f t="shared" si="6"/>
        <v>3.0000000000000004</v>
      </c>
      <c r="U35" s="273">
        <v>115.8</v>
      </c>
      <c r="V35" s="289">
        <f t="shared" si="7"/>
        <v>38.599999999999994</v>
      </c>
      <c r="W35" s="239"/>
      <c r="X35" s="239"/>
      <c r="Y35" s="270" t="e">
        <f t="shared" si="8"/>
        <v>#DIV/0!</v>
      </c>
      <c r="Z35" s="176">
        <v>10</v>
      </c>
      <c r="AA35" s="177">
        <v>144.65</v>
      </c>
      <c r="AB35" s="271">
        <f t="shared" si="11"/>
        <v>14.465</v>
      </c>
      <c r="AC35" s="176">
        <v>131</v>
      </c>
      <c r="AD35" s="176">
        <v>890.6</v>
      </c>
      <c r="AE35" s="282">
        <f t="shared" si="9"/>
        <v>6.7984732824427478</v>
      </c>
      <c r="AF35" s="175">
        <v>994.57999999999993</v>
      </c>
      <c r="AG35" s="52">
        <f t="shared" si="0"/>
        <v>2.1753718285214343</v>
      </c>
      <c r="AH35" s="185">
        <v>1231.98</v>
      </c>
      <c r="AI35" s="251"/>
      <c r="AJ35" s="176">
        <v>1341.0225</v>
      </c>
      <c r="AK35" s="176"/>
      <c r="AL35" s="227">
        <v>106</v>
      </c>
      <c r="AM35" s="260">
        <v>1090.75</v>
      </c>
      <c r="AN35" s="172">
        <f t="shared" si="12"/>
        <v>10.290094339622641</v>
      </c>
      <c r="AO35" s="258">
        <f t="shared" si="10"/>
        <v>31138.997499999994</v>
      </c>
    </row>
    <row r="36" spans="1:41" ht="20.100000000000001" customHeight="1" thickBot="1" x14ac:dyDescent="0.3">
      <c r="A36" s="283">
        <v>31</v>
      </c>
      <c r="B36" s="175"/>
      <c r="C36" s="176"/>
      <c r="D36" s="176"/>
      <c r="E36" s="176"/>
      <c r="F36" s="165"/>
      <c r="G36" s="185"/>
      <c r="H36" s="52">
        <f t="shared" si="1"/>
        <v>0</v>
      </c>
      <c r="I36" s="187"/>
      <c r="J36" s="94" t="e">
        <f t="shared" si="2"/>
        <v>#DIV/0!</v>
      </c>
      <c r="K36" s="262"/>
      <c r="L36" s="279" t="e">
        <f t="shared" si="3"/>
        <v>#DIV/0!</v>
      </c>
      <c r="M36" s="280" t="e">
        <f t="shared" ref="M36" si="13">+(I36+K36)/H36</f>
        <v>#DIV/0!</v>
      </c>
      <c r="N36" s="175"/>
      <c r="O36" s="177"/>
      <c r="P36" s="279" t="e">
        <f t="shared" si="5"/>
        <v>#DIV/0!</v>
      </c>
      <c r="Q36" s="298"/>
      <c r="R36" s="297"/>
      <c r="S36" s="297"/>
      <c r="T36" s="271">
        <f t="shared" si="6"/>
        <v>0</v>
      </c>
      <c r="U36" s="273"/>
      <c r="V36" s="289" t="e">
        <f t="shared" si="7"/>
        <v>#DIV/0!</v>
      </c>
      <c r="W36" s="248"/>
      <c r="X36" s="248"/>
      <c r="Y36" s="270" t="e">
        <f t="shared" si="8"/>
        <v>#DIV/0!</v>
      </c>
      <c r="Z36" s="185"/>
      <c r="AA36" s="187"/>
      <c r="AB36" s="271" t="e">
        <f t="shared" si="11"/>
        <v>#DIV/0!</v>
      </c>
      <c r="AC36" s="176"/>
      <c r="AD36" s="176"/>
      <c r="AE36" s="282" t="e">
        <f t="shared" si="9"/>
        <v>#DIV/0!</v>
      </c>
      <c r="AF36" s="184"/>
      <c r="AG36" s="52" t="e">
        <f t="shared" si="0"/>
        <v>#DIV/0!</v>
      </c>
      <c r="AH36" s="185"/>
      <c r="AI36" s="251"/>
      <c r="AJ36" s="176"/>
      <c r="AK36" s="176"/>
      <c r="AL36" s="227"/>
      <c r="AM36" s="260"/>
      <c r="AN36" s="172" t="e">
        <f t="shared" si="12"/>
        <v>#DIV/0!</v>
      </c>
      <c r="AO36" s="258">
        <f t="shared" si="10"/>
        <v>0</v>
      </c>
    </row>
    <row r="37" spans="1:41" ht="26.25" thickBot="1" x14ac:dyDescent="0.3">
      <c r="A37" s="202" t="s">
        <v>77</v>
      </c>
      <c r="B37" s="195">
        <f t="shared" ref="B37:K37" si="14">SUM(B6:B36)</f>
        <v>5159</v>
      </c>
      <c r="C37" s="195">
        <f t="shared" si="14"/>
        <v>5361</v>
      </c>
      <c r="D37" s="195">
        <f t="shared" si="14"/>
        <v>6519</v>
      </c>
      <c r="E37" s="195">
        <f t="shared" si="14"/>
        <v>0</v>
      </c>
      <c r="F37" s="195">
        <f t="shared" si="14"/>
        <v>15850</v>
      </c>
      <c r="G37" s="195">
        <f t="shared" si="14"/>
        <v>0</v>
      </c>
      <c r="H37" s="275">
        <f t="shared" si="14"/>
        <v>12123.800000000001</v>
      </c>
      <c r="I37" s="195">
        <f t="shared" si="14"/>
        <v>753334.11845999991</v>
      </c>
      <c r="J37" s="275">
        <f>+I37/H37</f>
        <v>62.136798566456051</v>
      </c>
      <c r="K37" s="195">
        <f t="shared" si="14"/>
        <v>72303.75</v>
      </c>
      <c r="L37" s="275">
        <f>+K37/H37</f>
        <v>5.9637861066662259</v>
      </c>
      <c r="M37" s="275">
        <f>+(I37+K37)/H37</f>
        <v>68.10058467312227</v>
      </c>
      <c r="N37" s="195">
        <f>SUM(N6:N36)</f>
        <v>1207</v>
      </c>
      <c r="O37" s="195">
        <f>SUM(O6:O36)</f>
        <v>62091.341099999983</v>
      </c>
      <c r="P37" s="285">
        <f>+O37/N37</f>
        <v>51.442701822700897</v>
      </c>
      <c r="Q37" s="195">
        <f t="shared" ref="Q37:U37" si="15">SUM(Q6:Q36)</f>
        <v>50</v>
      </c>
      <c r="R37" s="195">
        <f t="shared" si="15"/>
        <v>50</v>
      </c>
      <c r="S37" s="195">
        <f t="shared" si="15"/>
        <v>48</v>
      </c>
      <c r="T37" s="295">
        <f t="shared" si="6"/>
        <v>49.2</v>
      </c>
      <c r="U37" s="195">
        <f t="shared" si="15"/>
        <v>2494.4</v>
      </c>
      <c r="V37" s="290">
        <f>+U37/T37</f>
        <v>50.699186991869915</v>
      </c>
      <c r="W37" s="287">
        <f>SUM(W6:W36)</f>
        <v>130</v>
      </c>
      <c r="X37" s="195">
        <f>SUM(X6:X36)</f>
        <v>6614.2199999999993</v>
      </c>
      <c r="Y37" s="252">
        <f>+X37/W37</f>
        <v>50.878615384615379</v>
      </c>
      <c r="Z37" s="195">
        <f>SUM(Z6:Z36)</f>
        <v>606</v>
      </c>
      <c r="AA37" s="195">
        <f>SUM(AA6:AA36)</f>
        <v>8210.7999999999993</v>
      </c>
      <c r="AB37" s="275">
        <f>+AA37/Z37</f>
        <v>13.549174917491747</v>
      </c>
      <c r="AC37" s="195">
        <f>SUM(AC6:AC36)</f>
        <v>3553</v>
      </c>
      <c r="AD37" s="195">
        <f>SUM(AD6:AD36)</f>
        <v>24011.279999999999</v>
      </c>
      <c r="AE37" s="275" t="e">
        <f>SUM(AE6:AE36)</f>
        <v>#DIV/0!</v>
      </c>
      <c r="AF37" s="195">
        <f>SUM(AF6:AF36)</f>
        <v>17232.100000000002</v>
      </c>
      <c r="AG37" s="275">
        <f>+AF37/(N37+H37)</f>
        <v>1.2926531040897771</v>
      </c>
      <c r="AH37" s="195">
        <f t="shared" ref="AH37:AM37" si="16">SUM(AH6:AH36)</f>
        <v>16870.12</v>
      </c>
      <c r="AI37" s="195">
        <f t="shared" si="16"/>
        <v>0</v>
      </c>
      <c r="AJ37" s="195">
        <f t="shared" si="16"/>
        <v>64293.624799999991</v>
      </c>
      <c r="AK37" s="195">
        <f t="shared" si="16"/>
        <v>13770</v>
      </c>
      <c r="AL37" s="195">
        <f t="shared" si="16"/>
        <v>3180</v>
      </c>
      <c r="AM37" s="253">
        <f t="shared" si="16"/>
        <v>32617.330000000005</v>
      </c>
      <c r="AN37" s="195">
        <f>AM37/AL37</f>
        <v>10.257022012578618</v>
      </c>
      <c r="AO37" s="203">
        <f>SUM(AO6:AO36)</f>
        <v>1073843.0843600002</v>
      </c>
    </row>
    <row r="39" spans="1:41" ht="19.5" customHeight="1" x14ac:dyDescent="0.25">
      <c r="G39" s="305" t="s">
        <v>109</v>
      </c>
      <c r="H39" s="306"/>
      <c r="I39" s="306"/>
      <c r="J39" s="307"/>
      <c r="K39" s="266">
        <f>+L37</f>
        <v>5.9637861066662259</v>
      </c>
      <c r="L39" s="268"/>
    </row>
    <row r="40" spans="1:41" ht="21.75" customHeight="1" x14ac:dyDescent="0.25">
      <c r="G40" s="305" t="s">
        <v>110</v>
      </c>
      <c r="H40" s="306"/>
      <c r="I40" s="306"/>
      <c r="J40" s="307"/>
      <c r="K40" s="267">
        <v>6</v>
      </c>
      <c r="L40" s="269"/>
    </row>
  </sheetData>
  <mergeCells count="11">
    <mergeCell ref="G39:J39"/>
    <mergeCell ref="G40:J40"/>
    <mergeCell ref="A1:AO1"/>
    <mergeCell ref="A2:AO2"/>
    <mergeCell ref="A3:AO3"/>
    <mergeCell ref="B4:M4"/>
    <mergeCell ref="N4:P4"/>
    <mergeCell ref="Q4:V4"/>
    <mergeCell ref="W4:AE4"/>
    <mergeCell ref="AI4:AJ4"/>
    <mergeCell ref="AL4:AN4"/>
  </mergeCells>
  <conditionalFormatting sqref="Q24:S29">
    <cfRule type="cellIs" dxfId="3" priority="1" operator="equal">
      <formula>"MUKKADAS"</formula>
    </cfRule>
    <cfRule type="containsText" dxfId="2" priority="2" operator="containsText" text="UMAR">
      <formula>NOT(ISERROR(SEARCH("UMAR",Q24)))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DB0B-4AFA-43A0-ADDF-C04B4100F865}">
  <dimension ref="A1:AO40"/>
  <sheetViews>
    <sheetView tabSelected="1" topLeftCell="K1" zoomScale="80" zoomScaleNormal="80" workbookViewId="0">
      <selection activeCell="AJ8" sqref="AJ8"/>
    </sheetView>
  </sheetViews>
  <sheetFormatPr defaultRowHeight="15" x14ac:dyDescent="0.25"/>
  <cols>
    <col min="1" max="1" width="10.5703125" style="2" bestFit="1" customWidth="1"/>
    <col min="2" max="4" width="10.140625" bestFit="1" customWidth="1"/>
    <col min="6" max="6" width="11.28515625" bestFit="1" customWidth="1"/>
    <col min="8" max="8" width="11.28515625" bestFit="1" customWidth="1"/>
    <col min="9" max="9" width="12.28515625" bestFit="1" customWidth="1"/>
    <col min="10" max="10" width="11.28515625" customWidth="1"/>
    <col min="11" max="11" width="10.85546875" bestFit="1" customWidth="1"/>
    <col min="12" max="12" width="9.85546875" customWidth="1"/>
    <col min="14" max="14" width="11.42578125" bestFit="1" customWidth="1"/>
    <col min="15" max="15" width="11.28515625" bestFit="1" customWidth="1"/>
    <col min="16" max="16" width="10.140625" bestFit="1" customWidth="1"/>
    <col min="17" max="22" width="10.140625" customWidth="1"/>
    <col min="23" max="23" width="10.140625" bestFit="1" customWidth="1"/>
    <col min="24" max="24" width="12" bestFit="1" customWidth="1"/>
    <col min="27" max="27" width="12" customWidth="1"/>
    <col min="29" max="29" width="10.140625" bestFit="1" customWidth="1"/>
    <col min="30" max="30" width="11.28515625" bestFit="1" customWidth="1"/>
    <col min="32" max="32" width="11.28515625" bestFit="1" customWidth="1"/>
    <col min="34" max="34" width="11.28515625" bestFit="1" customWidth="1"/>
    <col min="36" max="37" width="11.28515625" bestFit="1" customWidth="1"/>
    <col min="38" max="38" width="14.85546875" bestFit="1" customWidth="1"/>
    <col min="39" max="39" width="11.28515625" bestFit="1" customWidth="1"/>
    <col min="41" max="41" width="13.85546875" bestFit="1" customWidth="1"/>
  </cols>
  <sheetData>
    <row r="1" spans="1:41" ht="21.75" thickBot="1" x14ac:dyDescent="0.4">
      <c r="A1" s="308" t="s">
        <v>119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10"/>
    </row>
    <row r="2" spans="1:41" ht="21.75" thickBot="1" x14ac:dyDescent="0.4">
      <c r="A2" s="308" t="s">
        <v>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</row>
    <row r="3" spans="1:41" ht="21.75" thickBot="1" x14ac:dyDescent="0.4">
      <c r="A3" s="308" t="s">
        <v>121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</row>
    <row r="4" spans="1:41" ht="15.75" thickBot="1" x14ac:dyDescent="0.3">
      <c r="A4" s="143"/>
      <c r="B4" s="311" t="s">
        <v>25</v>
      </c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3"/>
      <c r="N4" s="314" t="s">
        <v>62</v>
      </c>
      <c r="O4" s="315"/>
      <c r="P4" s="315"/>
      <c r="Q4" s="316" t="s">
        <v>117</v>
      </c>
      <c r="R4" s="315"/>
      <c r="S4" s="315"/>
      <c r="T4" s="315"/>
      <c r="U4" s="315"/>
      <c r="V4" s="317"/>
      <c r="W4" s="315" t="s">
        <v>65</v>
      </c>
      <c r="X4" s="315"/>
      <c r="Y4" s="315"/>
      <c r="Z4" s="315"/>
      <c r="AA4" s="315"/>
      <c r="AB4" s="315"/>
      <c r="AC4" s="315"/>
      <c r="AD4" s="315"/>
      <c r="AE4" s="318"/>
      <c r="AF4" s="263"/>
      <c r="AG4" s="264"/>
      <c r="AH4" s="264"/>
      <c r="AI4" s="319" t="s">
        <v>106</v>
      </c>
      <c r="AJ4" s="319"/>
      <c r="AK4" s="209"/>
      <c r="AL4" s="320" t="s">
        <v>67</v>
      </c>
      <c r="AM4" s="321"/>
      <c r="AN4" s="322"/>
      <c r="AO4" s="144" t="s">
        <v>68</v>
      </c>
    </row>
    <row r="5" spans="1:41" ht="27" thickBot="1" x14ac:dyDescent="0.3">
      <c r="A5" s="145" t="s">
        <v>1</v>
      </c>
      <c r="B5" s="146" t="s">
        <v>2</v>
      </c>
      <c r="C5" s="147" t="s">
        <v>3</v>
      </c>
      <c r="D5" s="147" t="s">
        <v>4</v>
      </c>
      <c r="E5" s="148" t="s">
        <v>9</v>
      </c>
      <c r="F5" s="148" t="s">
        <v>12</v>
      </c>
      <c r="G5" s="148" t="s">
        <v>19</v>
      </c>
      <c r="H5" s="276" t="s">
        <v>69</v>
      </c>
      <c r="I5" s="277" t="s">
        <v>0</v>
      </c>
      <c r="J5" s="278" t="s">
        <v>111</v>
      </c>
      <c r="K5" s="301" t="s">
        <v>105</v>
      </c>
      <c r="L5" s="211" t="s">
        <v>112</v>
      </c>
      <c r="M5" s="150" t="s">
        <v>113</v>
      </c>
      <c r="N5" s="148" t="s">
        <v>69</v>
      </c>
      <c r="O5" s="148" t="s">
        <v>89</v>
      </c>
      <c r="P5" s="211" t="s">
        <v>91</v>
      </c>
      <c r="Q5" s="292" t="s">
        <v>2</v>
      </c>
      <c r="R5" s="293" t="s">
        <v>3</v>
      </c>
      <c r="S5" s="293" t="s">
        <v>4</v>
      </c>
      <c r="T5" s="291" t="s">
        <v>114</v>
      </c>
      <c r="U5" s="288" t="s">
        <v>115</v>
      </c>
      <c r="V5" s="294" t="s">
        <v>116</v>
      </c>
      <c r="W5" s="286" t="s">
        <v>92</v>
      </c>
      <c r="X5" s="212" t="s">
        <v>93</v>
      </c>
      <c r="Y5" s="213" t="s">
        <v>94</v>
      </c>
      <c r="Z5" s="152" t="s">
        <v>72</v>
      </c>
      <c r="AA5" s="152" t="s">
        <v>73</v>
      </c>
      <c r="AB5" s="152" t="s">
        <v>79</v>
      </c>
      <c r="AC5" s="153" t="s">
        <v>21</v>
      </c>
      <c r="AD5" s="153" t="s">
        <v>74</v>
      </c>
      <c r="AE5" s="154" t="s">
        <v>16</v>
      </c>
      <c r="AF5" s="214" t="s">
        <v>95</v>
      </c>
      <c r="AG5" s="157" t="s">
        <v>96</v>
      </c>
      <c r="AH5" s="157" t="s">
        <v>99</v>
      </c>
      <c r="AI5" s="265" t="s">
        <v>107</v>
      </c>
      <c r="AJ5" s="216" t="s">
        <v>108</v>
      </c>
      <c r="AK5" s="217" t="s">
        <v>102</v>
      </c>
      <c r="AL5" s="218" t="s">
        <v>75</v>
      </c>
      <c r="AM5" s="219" t="s">
        <v>30</v>
      </c>
      <c r="AN5" s="162" t="s">
        <v>76</v>
      </c>
      <c r="AO5" s="144" t="s">
        <v>68</v>
      </c>
    </row>
    <row r="6" spans="1:41" ht="20.100000000000001" customHeight="1" x14ac:dyDescent="0.25">
      <c r="A6" s="283">
        <v>1</v>
      </c>
      <c r="B6" s="175">
        <v>85</v>
      </c>
      <c r="C6" s="176">
        <v>95</v>
      </c>
      <c r="D6" s="176">
        <v>93</v>
      </c>
      <c r="E6" s="165"/>
      <c r="F6" s="165">
        <v>501</v>
      </c>
      <c r="G6" s="165"/>
      <c r="H6" s="52">
        <f>B6*0.2+SUM(C6:F6)*0.4</f>
        <v>292.60000000000002</v>
      </c>
      <c r="I6" s="272">
        <v>18225.745000000003</v>
      </c>
      <c r="J6" s="94">
        <f>+I6/H6</f>
        <v>62.288943950786063</v>
      </c>
      <c r="K6" s="240">
        <v>2093.42</v>
      </c>
      <c r="L6" s="279">
        <f>+K6/H6</f>
        <v>7.1545454545454543</v>
      </c>
      <c r="M6" s="280">
        <f>+(K6+I6)/H6</f>
        <v>69.443489405331505</v>
      </c>
      <c r="N6" s="302">
        <v>40</v>
      </c>
      <c r="O6" s="229">
        <v>2453.9059999999999</v>
      </c>
      <c r="P6" s="279">
        <f>+O6/N6</f>
        <v>61.347650000000002</v>
      </c>
      <c r="Q6" s="298">
        <v>2</v>
      </c>
      <c r="R6" s="297">
        <v>2</v>
      </c>
      <c r="S6" s="297">
        <v>2</v>
      </c>
      <c r="T6" s="271">
        <f>+Q6*20%+S6*40%+R6*40%</f>
        <v>2</v>
      </c>
      <c r="U6" s="273">
        <v>91.28</v>
      </c>
      <c r="V6" s="289">
        <f>+U6/T6</f>
        <v>45.64</v>
      </c>
      <c r="W6" s="227"/>
      <c r="X6" s="227"/>
      <c r="Y6" s="270" t="e">
        <f>+X6/W6</f>
        <v>#DIV/0!</v>
      </c>
      <c r="Z6" s="51">
        <v>7</v>
      </c>
      <c r="AA6" s="51">
        <v>101.92</v>
      </c>
      <c r="AB6" s="271">
        <f>AA6/Z6</f>
        <v>14.56</v>
      </c>
      <c r="AC6" s="51">
        <v>10</v>
      </c>
      <c r="AD6" s="51">
        <v>72.8</v>
      </c>
      <c r="AE6" s="281">
        <f>AD6/AC6</f>
        <v>7.2799999999999994</v>
      </c>
      <c r="AF6" s="198">
        <v>426.52000000000004</v>
      </c>
      <c r="AG6" s="52">
        <f t="shared" ref="AG6:AG36" si="0">+AF6/(H6+N6)</f>
        <v>1.2823812387251954</v>
      </c>
      <c r="AH6" s="299">
        <v>119.78999999999999</v>
      </c>
      <c r="AI6" s="274"/>
      <c r="AJ6" s="51"/>
      <c r="AK6" s="43"/>
      <c r="AL6" s="227">
        <v>106</v>
      </c>
      <c r="AM6" s="304">
        <v>1073.95</v>
      </c>
      <c r="AN6" s="257">
        <f>AM6/AL6</f>
        <v>10.131603773584906</v>
      </c>
      <c r="AO6" s="258">
        <f>+AM6+AK6+AJ6+AI6+AH6+AF6+AD6+AA6+X6+O6+K6+I6+U6</f>
        <v>24659.331000000002</v>
      </c>
    </row>
    <row r="7" spans="1:41" ht="20.100000000000001" customHeight="1" x14ac:dyDescent="0.25">
      <c r="A7" s="283">
        <v>2</v>
      </c>
      <c r="B7" s="175">
        <v>84</v>
      </c>
      <c r="C7" s="176">
        <v>94</v>
      </c>
      <c r="D7" s="176">
        <v>92</v>
      </c>
      <c r="E7" s="165"/>
      <c r="F7" s="165">
        <v>501</v>
      </c>
      <c r="G7" s="176"/>
      <c r="H7" s="52">
        <f t="shared" ref="H7:H36" si="1">B7*0.2+SUM(C7:F7)*0.4</f>
        <v>291.60000000000002</v>
      </c>
      <c r="I7" s="177">
        <v>18826.837000000007</v>
      </c>
      <c r="J7" s="94">
        <f t="shared" ref="J7:J36" si="2">+I7/H7</f>
        <v>64.563912894375875</v>
      </c>
      <c r="K7" s="246">
        <v>1408.3399999999997</v>
      </c>
      <c r="L7" s="279">
        <f t="shared" ref="L7:L36" si="3">+K7/H7</f>
        <v>4.8296982167352525</v>
      </c>
      <c r="M7" s="280">
        <f t="shared" ref="M7:M35" si="4">+(K7+I7)/H7</f>
        <v>69.393611111111127</v>
      </c>
      <c r="N7" s="302">
        <v>40</v>
      </c>
      <c r="O7" s="177">
        <v>2340.895</v>
      </c>
      <c r="P7" s="279">
        <f t="shared" ref="P7:P36" si="5">+O7/N7</f>
        <v>58.522374999999997</v>
      </c>
      <c r="Q7" s="298">
        <v>2</v>
      </c>
      <c r="R7" s="297">
        <v>2</v>
      </c>
      <c r="S7" s="297">
        <v>2</v>
      </c>
      <c r="T7" s="271">
        <f t="shared" ref="T7:T37" si="6">+Q7*20%+S7*40%+R7*40%</f>
        <v>2</v>
      </c>
      <c r="U7" s="273">
        <v>92.6</v>
      </c>
      <c r="V7" s="289">
        <f t="shared" ref="V7:V36" si="7">+U7/T7</f>
        <v>46.3</v>
      </c>
      <c r="W7" s="239"/>
      <c r="X7" s="222"/>
      <c r="Y7" s="270" t="e">
        <f t="shared" ref="Y7:Y36" si="8">+X7/W7</f>
        <v>#DIV/0!</v>
      </c>
      <c r="Z7" s="51">
        <v>7</v>
      </c>
      <c r="AA7" s="200">
        <v>101.92</v>
      </c>
      <c r="AB7" s="271">
        <f>AA7/Z7</f>
        <v>14.56</v>
      </c>
      <c r="AC7" s="51">
        <v>10</v>
      </c>
      <c r="AD7" s="165">
        <v>72.8</v>
      </c>
      <c r="AE7" s="282">
        <f t="shared" ref="AE7:AE36" si="9">AD7/AC7</f>
        <v>7.2799999999999994</v>
      </c>
      <c r="AF7" s="175">
        <v>402</v>
      </c>
      <c r="AG7" s="52">
        <f t="shared" si="0"/>
        <v>1.2123039806996381</v>
      </c>
      <c r="AH7" s="176">
        <v>328.8</v>
      </c>
      <c r="AI7" s="235"/>
      <c r="AJ7" s="176">
        <v>357.59999999999997</v>
      </c>
      <c r="AK7" s="176"/>
      <c r="AL7" s="227">
        <v>106</v>
      </c>
      <c r="AM7" s="260">
        <v>1301.1500000000001</v>
      </c>
      <c r="AN7" s="172">
        <f>AM7/AL7</f>
        <v>12.275</v>
      </c>
      <c r="AO7" s="258">
        <f t="shared" ref="AO7:AO36" si="10">+AM7+AK7+AJ7+AI7+AH7+AF7+AD7+AA7+X7+O7+K7+I7+U7</f>
        <v>25232.942000000006</v>
      </c>
    </row>
    <row r="8" spans="1:41" ht="20.100000000000001" customHeight="1" x14ac:dyDescent="0.25">
      <c r="A8" s="283">
        <v>3</v>
      </c>
      <c r="B8" s="175">
        <v>205</v>
      </c>
      <c r="C8" s="176">
        <v>210</v>
      </c>
      <c r="D8" s="176">
        <v>301</v>
      </c>
      <c r="E8" s="165"/>
      <c r="F8" s="165">
        <v>543</v>
      </c>
      <c r="G8" s="176"/>
      <c r="H8" s="52">
        <f t="shared" si="1"/>
        <v>462.6</v>
      </c>
      <c r="I8" s="177">
        <v>27328.137600000009</v>
      </c>
      <c r="J8" s="94">
        <f t="shared" si="2"/>
        <v>59.075092088197167</v>
      </c>
      <c r="K8" s="240">
        <v>2515.7700000000004</v>
      </c>
      <c r="L8" s="279">
        <f t="shared" si="3"/>
        <v>5.4383268482490283</v>
      </c>
      <c r="M8" s="280">
        <f t="shared" si="4"/>
        <v>64.513418936446186</v>
      </c>
      <c r="N8" s="302">
        <v>40</v>
      </c>
      <c r="O8" s="177">
        <v>2261.06</v>
      </c>
      <c r="P8" s="279">
        <f t="shared" si="5"/>
        <v>56.526499999999999</v>
      </c>
      <c r="Q8" s="298">
        <v>3</v>
      </c>
      <c r="R8" s="297">
        <v>3</v>
      </c>
      <c r="S8" s="297">
        <v>3</v>
      </c>
      <c r="T8" s="271">
        <f t="shared" si="6"/>
        <v>3.0000000000000004</v>
      </c>
      <c r="U8" s="273">
        <v>144.12</v>
      </c>
      <c r="V8" s="289">
        <f t="shared" si="7"/>
        <v>48.039999999999992</v>
      </c>
      <c r="W8" s="239"/>
      <c r="X8" s="222"/>
      <c r="Y8" s="270" t="e">
        <f t="shared" si="8"/>
        <v>#DIV/0!</v>
      </c>
      <c r="Z8" s="165">
        <v>30</v>
      </c>
      <c r="AA8" s="177">
        <v>428.9</v>
      </c>
      <c r="AB8" s="271">
        <f>AA8/Z8</f>
        <v>14.296666666666665</v>
      </c>
      <c r="AC8" s="176">
        <v>272</v>
      </c>
      <c r="AD8" s="176">
        <v>1894.04</v>
      </c>
      <c r="AE8" s="282">
        <f t="shared" si="9"/>
        <v>6.963382352941176</v>
      </c>
      <c r="AF8" s="175">
        <v>211.9</v>
      </c>
      <c r="AG8" s="52">
        <f t="shared" si="0"/>
        <v>0.42160764027059289</v>
      </c>
      <c r="AH8" s="176">
        <v>328.8</v>
      </c>
      <c r="AI8" s="235"/>
      <c r="AJ8" s="176">
        <v>1206.845</v>
      </c>
      <c r="AK8" s="176"/>
      <c r="AL8" s="227">
        <v>106</v>
      </c>
      <c r="AM8" s="260">
        <v>1058.25</v>
      </c>
      <c r="AN8" s="172">
        <f>AM8/AL8</f>
        <v>9.9834905660377355</v>
      </c>
      <c r="AO8" s="258">
        <f t="shared" si="10"/>
        <v>37377.822600000014</v>
      </c>
    </row>
    <row r="9" spans="1:41" ht="20.100000000000001" customHeight="1" x14ac:dyDescent="0.25">
      <c r="A9" s="283">
        <v>4</v>
      </c>
      <c r="B9" s="175"/>
      <c r="C9" s="176"/>
      <c r="D9" s="176"/>
      <c r="E9" s="165"/>
      <c r="F9" s="165"/>
      <c r="G9" s="176"/>
      <c r="H9" s="52">
        <f t="shared" si="1"/>
        <v>0</v>
      </c>
      <c r="I9" s="177"/>
      <c r="J9" s="94" t="e">
        <f t="shared" si="2"/>
        <v>#DIV/0!</v>
      </c>
      <c r="K9" s="246"/>
      <c r="L9" s="279" t="e">
        <f t="shared" si="3"/>
        <v>#DIV/0!</v>
      </c>
      <c r="M9" s="280" t="e">
        <f t="shared" si="4"/>
        <v>#DIV/0!</v>
      </c>
      <c r="N9" s="302"/>
      <c r="O9" s="177"/>
      <c r="P9" s="279" t="e">
        <f t="shared" si="5"/>
        <v>#DIV/0!</v>
      </c>
      <c r="Q9" s="298"/>
      <c r="R9" s="297"/>
      <c r="S9" s="297"/>
      <c r="T9" s="271">
        <f t="shared" si="6"/>
        <v>0</v>
      </c>
      <c r="U9" s="273"/>
      <c r="V9" s="289" t="e">
        <f t="shared" si="7"/>
        <v>#DIV/0!</v>
      </c>
      <c r="W9" s="239"/>
      <c r="X9" s="300"/>
      <c r="Y9" s="270" t="e">
        <f t="shared" si="8"/>
        <v>#DIV/0!</v>
      </c>
      <c r="Z9" s="165"/>
      <c r="AA9" s="177"/>
      <c r="AB9" s="271" t="e">
        <f t="shared" ref="AB9:AB36" si="11">AA9/Z9</f>
        <v>#DIV/0!</v>
      </c>
      <c r="AC9" s="176"/>
      <c r="AD9" s="176"/>
      <c r="AE9" s="282" t="e">
        <f t="shared" si="9"/>
        <v>#DIV/0!</v>
      </c>
      <c r="AF9" s="175"/>
      <c r="AG9" s="52" t="e">
        <f t="shared" si="0"/>
        <v>#DIV/0!</v>
      </c>
      <c r="AH9" s="176"/>
      <c r="AI9" s="235"/>
      <c r="AJ9" s="177"/>
      <c r="AK9" s="176"/>
      <c r="AL9" s="227"/>
      <c r="AM9" s="260"/>
      <c r="AN9" s="172" t="e">
        <f>AM9/AL9</f>
        <v>#DIV/0!</v>
      </c>
      <c r="AO9" s="258">
        <f t="shared" si="10"/>
        <v>0</v>
      </c>
    </row>
    <row r="10" spans="1:41" ht="20.100000000000001" customHeight="1" x14ac:dyDescent="0.25">
      <c r="A10" s="283">
        <v>5</v>
      </c>
      <c r="B10" s="175"/>
      <c r="C10" s="176"/>
      <c r="D10" s="165"/>
      <c r="E10" s="176"/>
      <c r="F10" s="165"/>
      <c r="G10" s="176"/>
      <c r="H10" s="52">
        <f t="shared" si="1"/>
        <v>0</v>
      </c>
      <c r="I10" s="177"/>
      <c r="J10" s="94" t="e">
        <f t="shared" si="2"/>
        <v>#DIV/0!</v>
      </c>
      <c r="K10" s="240"/>
      <c r="L10" s="279" t="e">
        <f t="shared" si="3"/>
        <v>#DIV/0!</v>
      </c>
      <c r="M10" s="280" t="e">
        <f t="shared" si="4"/>
        <v>#DIV/0!</v>
      </c>
      <c r="N10" s="302"/>
      <c r="O10" s="177"/>
      <c r="P10" s="279" t="e">
        <f t="shared" si="5"/>
        <v>#DIV/0!</v>
      </c>
      <c r="Q10" s="298"/>
      <c r="R10" s="297"/>
      <c r="S10" s="297"/>
      <c r="T10" s="271">
        <f t="shared" si="6"/>
        <v>0</v>
      </c>
      <c r="U10" s="273"/>
      <c r="V10" s="289" t="e">
        <f t="shared" si="7"/>
        <v>#DIV/0!</v>
      </c>
      <c r="W10" s="239"/>
      <c r="X10" s="222"/>
      <c r="Y10" s="270" t="e">
        <f t="shared" si="8"/>
        <v>#DIV/0!</v>
      </c>
      <c r="Z10" s="165"/>
      <c r="AA10" s="177"/>
      <c r="AB10" s="271" t="e">
        <f t="shared" si="11"/>
        <v>#DIV/0!</v>
      </c>
      <c r="AC10" s="176"/>
      <c r="AD10" s="176"/>
      <c r="AE10" s="282" t="e">
        <f t="shared" si="9"/>
        <v>#DIV/0!</v>
      </c>
      <c r="AF10" s="175"/>
      <c r="AG10" s="52" t="e">
        <f t="shared" si="0"/>
        <v>#DIV/0!</v>
      </c>
      <c r="AH10" s="176"/>
      <c r="AI10" s="235"/>
      <c r="AJ10" s="176"/>
      <c r="AK10" s="176"/>
      <c r="AL10" s="227"/>
      <c r="AM10" s="260"/>
      <c r="AN10" s="172" t="e">
        <f t="shared" ref="AN10:AN36" si="12">AM10/AL10</f>
        <v>#DIV/0!</v>
      </c>
      <c r="AO10" s="258">
        <f t="shared" si="10"/>
        <v>0</v>
      </c>
    </row>
    <row r="11" spans="1:41" ht="20.100000000000001" customHeight="1" x14ac:dyDescent="0.25">
      <c r="A11" s="283">
        <v>6</v>
      </c>
      <c r="B11" s="175"/>
      <c r="C11" s="176"/>
      <c r="D11" s="176"/>
      <c r="E11" s="176"/>
      <c r="F11" s="165"/>
      <c r="G11" s="176"/>
      <c r="H11" s="52">
        <f t="shared" si="1"/>
        <v>0</v>
      </c>
      <c r="I11" s="177"/>
      <c r="J11" s="94" t="e">
        <f t="shared" si="2"/>
        <v>#DIV/0!</v>
      </c>
      <c r="K11" s="246"/>
      <c r="L11" s="279" t="e">
        <f t="shared" si="3"/>
        <v>#DIV/0!</v>
      </c>
      <c r="M11" s="280" t="e">
        <f t="shared" si="4"/>
        <v>#DIV/0!</v>
      </c>
      <c r="N11" s="302"/>
      <c r="O11" s="177"/>
      <c r="P11" s="279" t="e">
        <f t="shared" si="5"/>
        <v>#DIV/0!</v>
      </c>
      <c r="Q11" s="298"/>
      <c r="R11" s="297"/>
      <c r="S11" s="297"/>
      <c r="T11" s="271">
        <f t="shared" si="6"/>
        <v>0</v>
      </c>
      <c r="U11" s="273"/>
      <c r="V11" s="289" t="e">
        <f t="shared" si="7"/>
        <v>#DIV/0!</v>
      </c>
      <c r="W11" s="239"/>
      <c r="X11" s="222"/>
      <c r="Y11" s="270" t="e">
        <f t="shared" si="8"/>
        <v>#DIV/0!</v>
      </c>
      <c r="Z11" s="165"/>
      <c r="AA11" s="177"/>
      <c r="AB11" s="271" t="e">
        <f t="shared" si="11"/>
        <v>#DIV/0!</v>
      </c>
      <c r="AC11" s="176"/>
      <c r="AD11" s="176"/>
      <c r="AE11" s="282" t="e">
        <f t="shared" si="9"/>
        <v>#DIV/0!</v>
      </c>
      <c r="AF11" s="175"/>
      <c r="AG11" s="52" t="e">
        <f t="shared" si="0"/>
        <v>#DIV/0!</v>
      </c>
      <c r="AH11" s="176"/>
      <c r="AI11" s="235"/>
      <c r="AJ11" s="176"/>
      <c r="AK11" s="176"/>
      <c r="AL11" s="227"/>
      <c r="AM11" s="260"/>
      <c r="AN11" s="172" t="e">
        <f t="shared" si="12"/>
        <v>#DIV/0!</v>
      </c>
      <c r="AO11" s="258">
        <f t="shared" si="10"/>
        <v>0</v>
      </c>
    </row>
    <row r="12" spans="1:41" ht="20.100000000000001" customHeight="1" x14ac:dyDescent="0.25">
      <c r="A12" s="283">
        <v>7</v>
      </c>
      <c r="B12" s="175"/>
      <c r="C12" s="176"/>
      <c r="D12" s="176"/>
      <c r="E12" s="176"/>
      <c r="F12" s="165"/>
      <c r="G12" s="176"/>
      <c r="H12" s="52">
        <f t="shared" si="1"/>
        <v>0</v>
      </c>
      <c r="I12" s="177"/>
      <c r="J12" s="94" t="e">
        <f t="shared" si="2"/>
        <v>#DIV/0!</v>
      </c>
      <c r="K12" s="240"/>
      <c r="L12" s="279" t="e">
        <f t="shared" si="3"/>
        <v>#DIV/0!</v>
      </c>
      <c r="M12" s="280" t="e">
        <f t="shared" si="4"/>
        <v>#DIV/0!</v>
      </c>
      <c r="N12" s="302"/>
      <c r="O12" s="177"/>
      <c r="P12" s="279" t="e">
        <f t="shared" si="5"/>
        <v>#DIV/0!</v>
      </c>
      <c r="Q12" s="298"/>
      <c r="R12" s="297"/>
      <c r="S12" s="297"/>
      <c r="T12" s="271">
        <f t="shared" si="6"/>
        <v>0</v>
      </c>
      <c r="U12" s="273"/>
      <c r="V12" s="289" t="e">
        <f t="shared" si="7"/>
        <v>#DIV/0!</v>
      </c>
      <c r="W12" s="239"/>
      <c r="X12" s="239"/>
      <c r="Y12" s="270" t="e">
        <f t="shared" si="8"/>
        <v>#DIV/0!</v>
      </c>
      <c r="Z12" s="176"/>
      <c r="AA12" s="177"/>
      <c r="AB12" s="271" t="e">
        <f t="shared" si="11"/>
        <v>#DIV/0!</v>
      </c>
      <c r="AC12" s="176"/>
      <c r="AD12" s="176"/>
      <c r="AE12" s="282" t="e">
        <f t="shared" si="9"/>
        <v>#DIV/0!</v>
      </c>
      <c r="AF12" s="175"/>
      <c r="AG12" s="52" t="e">
        <f t="shared" si="0"/>
        <v>#DIV/0!</v>
      </c>
      <c r="AH12" s="176"/>
      <c r="AI12" s="235"/>
      <c r="AJ12" s="176"/>
      <c r="AK12" s="176"/>
      <c r="AL12" s="227"/>
      <c r="AM12" s="260"/>
      <c r="AN12" s="172" t="e">
        <f t="shared" si="12"/>
        <v>#DIV/0!</v>
      </c>
      <c r="AO12" s="258">
        <f t="shared" si="10"/>
        <v>0</v>
      </c>
    </row>
    <row r="13" spans="1:41" ht="20.100000000000001" customHeight="1" x14ac:dyDescent="0.25">
      <c r="A13" s="283">
        <v>8</v>
      </c>
      <c r="B13" s="175"/>
      <c r="C13" s="176"/>
      <c r="D13" s="176"/>
      <c r="E13" s="176"/>
      <c r="F13" s="165"/>
      <c r="G13" s="176"/>
      <c r="H13" s="52">
        <f t="shared" si="1"/>
        <v>0</v>
      </c>
      <c r="I13" s="177"/>
      <c r="J13" s="94" t="e">
        <f t="shared" si="2"/>
        <v>#DIV/0!</v>
      </c>
      <c r="K13" s="246"/>
      <c r="L13" s="279" t="e">
        <f t="shared" si="3"/>
        <v>#DIV/0!</v>
      </c>
      <c r="M13" s="280" t="e">
        <f t="shared" si="4"/>
        <v>#DIV/0!</v>
      </c>
      <c r="N13" s="302"/>
      <c r="O13" s="177"/>
      <c r="P13" s="279" t="e">
        <f t="shared" si="5"/>
        <v>#DIV/0!</v>
      </c>
      <c r="Q13" s="298"/>
      <c r="R13" s="297"/>
      <c r="S13" s="297"/>
      <c r="T13" s="271">
        <f t="shared" si="6"/>
        <v>0</v>
      </c>
      <c r="U13" s="273"/>
      <c r="V13" s="289" t="e">
        <f t="shared" si="7"/>
        <v>#DIV/0!</v>
      </c>
      <c r="W13" s="239"/>
      <c r="X13" s="239"/>
      <c r="Y13" s="270" t="e">
        <f t="shared" si="8"/>
        <v>#DIV/0!</v>
      </c>
      <c r="Z13" s="176"/>
      <c r="AA13" s="177"/>
      <c r="AB13" s="271" t="e">
        <f t="shared" si="11"/>
        <v>#DIV/0!</v>
      </c>
      <c r="AC13" s="176"/>
      <c r="AD13" s="176"/>
      <c r="AE13" s="282" t="e">
        <f t="shared" si="9"/>
        <v>#DIV/0!</v>
      </c>
      <c r="AF13" s="175"/>
      <c r="AG13" s="52" t="e">
        <f t="shared" si="0"/>
        <v>#DIV/0!</v>
      </c>
      <c r="AH13" s="176"/>
      <c r="AI13" s="235"/>
      <c r="AJ13" s="176"/>
      <c r="AK13" s="176"/>
      <c r="AL13" s="227"/>
      <c r="AM13" s="260"/>
      <c r="AN13" s="172" t="e">
        <f t="shared" si="12"/>
        <v>#DIV/0!</v>
      </c>
      <c r="AO13" s="258">
        <f t="shared" si="10"/>
        <v>0</v>
      </c>
    </row>
    <row r="14" spans="1:41" ht="20.100000000000001" customHeight="1" x14ac:dyDescent="0.25">
      <c r="A14" s="283">
        <v>9</v>
      </c>
      <c r="B14" s="164"/>
      <c r="C14" s="165"/>
      <c r="D14" s="165"/>
      <c r="E14" s="176"/>
      <c r="F14" s="165"/>
      <c r="G14" s="176"/>
      <c r="H14" s="52">
        <f t="shared" si="1"/>
        <v>0</v>
      </c>
      <c r="I14" s="177"/>
      <c r="J14" s="94" t="e">
        <f t="shared" si="2"/>
        <v>#DIV/0!</v>
      </c>
      <c r="K14" s="240"/>
      <c r="L14" s="279" t="e">
        <f t="shared" si="3"/>
        <v>#DIV/0!</v>
      </c>
      <c r="M14" s="280" t="e">
        <f t="shared" si="4"/>
        <v>#DIV/0!</v>
      </c>
      <c r="N14" s="302"/>
      <c r="O14" s="177"/>
      <c r="P14" s="279" t="e">
        <f t="shared" si="5"/>
        <v>#DIV/0!</v>
      </c>
      <c r="Q14" s="298"/>
      <c r="R14" s="297"/>
      <c r="S14" s="297"/>
      <c r="T14" s="271">
        <f t="shared" si="6"/>
        <v>0</v>
      </c>
      <c r="U14" s="273"/>
      <c r="V14" s="289" t="e">
        <f t="shared" si="7"/>
        <v>#DIV/0!</v>
      </c>
      <c r="W14" s="239"/>
      <c r="X14" s="239"/>
      <c r="Y14" s="270" t="e">
        <f t="shared" si="8"/>
        <v>#DIV/0!</v>
      </c>
      <c r="Z14" s="176"/>
      <c r="AA14" s="177"/>
      <c r="AB14" s="271" t="e">
        <f t="shared" si="11"/>
        <v>#DIV/0!</v>
      </c>
      <c r="AC14" s="176"/>
      <c r="AD14" s="176"/>
      <c r="AE14" s="282" t="e">
        <f t="shared" si="9"/>
        <v>#DIV/0!</v>
      </c>
      <c r="AF14" s="175"/>
      <c r="AG14" s="52" t="e">
        <f t="shared" si="0"/>
        <v>#DIV/0!</v>
      </c>
      <c r="AH14" s="176"/>
      <c r="AI14" s="235"/>
      <c r="AJ14" s="176"/>
      <c r="AK14" s="176"/>
      <c r="AL14" s="227"/>
      <c r="AM14" s="260"/>
      <c r="AN14" s="172" t="e">
        <f t="shared" si="12"/>
        <v>#DIV/0!</v>
      </c>
      <c r="AO14" s="258">
        <f t="shared" si="10"/>
        <v>0</v>
      </c>
    </row>
    <row r="15" spans="1:41" ht="20.100000000000001" customHeight="1" x14ac:dyDescent="0.25">
      <c r="A15" s="283">
        <v>10</v>
      </c>
      <c r="B15" s="164"/>
      <c r="C15" s="165"/>
      <c r="D15" s="165"/>
      <c r="E15" s="176"/>
      <c r="F15" s="165"/>
      <c r="G15" s="176"/>
      <c r="H15" s="52">
        <f t="shared" si="1"/>
        <v>0</v>
      </c>
      <c r="I15" s="177"/>
      <c r="J15" s="94" t="e">
        <f t="shared" si="2"/>
        <v>#DIV/0!</v>
      </c>
      <c r="K15" s="260"/>
      <c r="L15" s="279" t="e">
        <f t="shared" si="3"/>
        <v>#DIV/0!</v>
      </c>
      <c r="M15" s="280" t="e">
        <f t="shared" si="4"/>
        <v>#DIV/0!</v>
      </c>
      <c r="N15" s="303"/>
      <c r="O15" s="177"/>
      <c r="P15" s="279" t="e">
        <f t="shared" si="5"/>
        <v>#DIV/0!</v>
      </c>
      <c r="Q15" s="298"/>
      <c r="R15" s="297"/>
      <c r="S15" s="297"/>
      <c r="T15" s="271">
        <f t="shared" si="6"/>
        <v>0</v>
      </c>
      <c r="U15" s="273"/>
      <c r="V15" s="289" t="e">
        <f t="shared" si="7"/>
        <v>#DIV/0!</v>
      </c>
      <c r="W15" s="239"/>
      <c r="X15" s="239"/>
      <c r="Y15" s="270" t="e">
        <f t="shared" si="8"/>
        <v>#DIV/0!</v>
      </c>
      <c r="Z15" s="176"/>
      <c r="AA15" s="177"/>
      <c r="AB15" s="271" t="e">
        <f t="shared" si="11"/>
        <v>#DIV/0!</v>
      </c>
      <c r="AC15" s="176"/>
      <c r="AD15" s="176"/>
      <c r="AE15" s="282" t="e">
        <f t="shared" si="9"/>
        <v>#DIV/0!</v>
      </c>
      <c r="AF15" s="175"/>
      <c r="AG15" s="52" t="e">
        <f t="shared" si="0"/>
        <v>#DIV/0!</v>
      </c>
      <c r="AH15" s="176"/>
      <c r="AI15" s="235"/>
      <c r="AJ15" s="176"/>
      <c r="AK15" s="176"/>
      <c r="AL15" s="227"/>
      <c r="AM15" s="260"/>
      <c r="AN15" s="172" t="e">
        <f t="shared" si="12"/>
        <v>#DIV/0!</v>
      </c>
      <c r="AO15" s="258">
        <f t="shared" si="10"/>
        <v>0</v>
      </c>
    </row>
    <row r="16" spans="1:41" ht="20.100000000000001" customHeight="1" x14ac:dyDescent="0.25">
      <c r="A16" s="283">
        <v>11</v>
      </c>
      <c r="B16" s="164"/>
      <c r="C16" s="165"/>
      <c r="D16" s="165"/>
      <c r="E16" s="176"/>
      <c r="F16" s="165"/>
      <c r="G16" s="176"/>
      <c r="H16" s="52">
        <f t="shared" si="1"/>
        <v>0</v>
      </c>
      <c r="I16" s="177"/>
      <c r="J16" s="94" t="e">
        <f t="shared" si="2"/>
        <v>#DIV/0!</v>
      </c>
      <c r="K16" s="260"/>
      <c r="L16" s="279" t="e">
        <f t="shared" si="3"/>
        <v>#DIV/0!</v>
      </c>
      <c r="M16" s="280" t="e">
        <f t="shared" si="4"/>
        <v>#DIV/0!</v>
      </c>
      <c r="N16" s="303"/>
      <c r="O16" s="177"/>
      <c r="P16" s="279" t="e">
        <f t="shared" si="5"/>
        <v>#DIV/0!</v>
      </c>
      <c r="Q16" s="298"/>
      <c r="R16" s="297"/>
      <c r="S16" s="297"/>
      <c r="T16" s="271">
        <f t="shared" si="6"/>
        <v>0</v>
      </c>
      <c r="U16" s="273"/>
      <c r="V16" s="289" t="e">
        <f t="shared" si="7"/>
        <v>#DIV/0!</v>
      </c>
      <c r="W16" s="239"/>
      <c r="X16" s="239"/>
      <c r="Y16" s="270" t="e">
        <f t="shared" si="8"/>
        <v>#DIV/0!</v>
      </c>
      <c r="Z16" s="176"/>
      <c r="AA16" s="177"/>
      <c r="AB16" s="271" t="e">
        <f t="shared" si="11"/>
        <v>#DIV/0!</v>
      </c>
      <c r="AC16" s="176"/>
      <c r="AD16" s="176"/>
      <c r="AE16" s="282" t="e">
        <f t="shared" si="9"/>
        <v>#DIV/0!</v>
      </c>
      <c r="AF16" s="175"/>
      <c r="AG16" s="52" t="e">
        <f t="shared" si="0"/>
        <v>#DIV/0!</v>
      </c>
      <c r="AH16" s="176"/>
      <c r="AI16" s="235"/>
      <c r="AJ16" s="176"/>
      <c r="AK16" s="176"/>
      <c r="AL16" s="227"/>
      <c r="AM16" s="260"/>
      <c r="AN16" s="172" t="e">
        <f t="shared" si="12"/>
        <v>#DIV/0!</v>
      </c>
      <c r="AO16" s="258">
        <f t="shared" si="10"/>
        <v>0</v>
      </c>
    </row>
    <row r="17" spans="1:41" ht="20.100000000000001" customHeight="1" x14ac:dyDescent="0.25">
      <c r="A17" s="283">
        <v>12</v>
      </c>
      <c r="B17" s="164"/>
      <c r="C17" s="165"/>
      <c r="D17" s="165"/>
      <c r="E17" s="176"/>
      <c r="F17" s="165"/>
      <c r="G17" s="176"/>
      <c r="H17" s="52">
        <f t="shared" si="1"/>
        <v>0</v>
      </c>
      <c r="I17" s="177"/>
      <c r="J17" s="94" t="e">
        <f t="shared" si="2"/>
        <v>#DIV/0!</v>
      </c>
      <c r="K17" s="260"/>
      <c r="L17" s="279" t="e">
        <f t="shared" si="3"/>
        <v>#DIV/0!</v>
      </c>
      <c r="M17" s="280" t="e">
        <f t="shared" si="4"/>
        <v>#DIV/0!</v>
      </c>
      <c r="N17" s="303"/>
      <c r="O17" s="177"/>
      <c r="P17" s="279" t="e">
        <f t="shared" si="5"/>
        <v>#DIV/0!</v>
      </c>
      <c r="Q17" s="298"/>
      <c r="R17" s="297"/>
      <c r="S17" s="297"/>
      <c r="T17" s="271">
        <f t="shared" si="6"/>
        <v>0</v>
      </c>
      <c r="U17" s="273"/>
      <c r="V17" s="289" t="e">
        <f t="shared" si="7"/>
        <v>#DIV/0!</v>
      </c>
      <c r="W17" s="239"/>
      <c r="X17" s="239"/>
      <c r="Y17" s="270" t="e">
        <f t="shared" si="8"/>
        <v>#DIV/0!</v>
      </c>
      <c r="Z17" s="176"/>
      <c r="AA17" s="177"/>
      <c r="AB17" s="271" t="e">
        <f t="shared" si="11"/>
        <v>#DIV/0!</v>
      </c>
      <c r="AC17" s="176"/>
      <c r="AD17" s="176"/>
      <c r="AE17" s="282" t="e">
        <f t="shared" si="9"/>
        <v>#DIV/0!</v>
      </c>
      <c r="AF17" s="175"/>
      <c r="AG17" s="52" t="e">
        <f t="shared" si="0"/>
        <v>#DIV/0!</v>
      </c>
      <c r="AH17" s="176"/>
      <c r="AI17" s="235"/>
      <c r="AJ17" s="176"/>
      <c r="AK17" s="176"/>
      <c r="AL17" s="227"/>
      <c r="AM17" s="260"/>
      <c r="AN17" s="172" t="e">
        <f t="shared" si="12"/>
        <v>#DIV/0!</v>
      </c>
      <c r="AO17" s="258">
        <f t="shared" si="10"/>
        <v>0</v>
      </c>
    </row>
    <row r="18" spans="1:41" ht="20.100000000000001" customHeight="1" x14ac:dyDescent="0.25">
      <c r="A18" s="283">
        <v>13</v>
      </c>
      <c r="B18" s="164"/>
      <c r="C18" s="165"/>
      <c r="D18" s="165"/>
      <c r="E18" s="176"/>
      <c r="F18" s="165"/>
      <c r="G18" s="176"/>
      <c r="H18" s="52">
        <f t="shared" si="1"/>
        <v>0</v>
      </c>
      <c r="I18" s="177"/>
      <c r="J18" s="94" t="e">
        <f t="shared" si="2"/>
        <v>#DIV/0!</v>
      </c>
      <c r="K18" s="260"/>
      <c r="L18" s="279" t="e">
        <f t="shared" si="3"/>
        <v>#DIV/0!</v>
      </c>
      <c r="M18" s="280" t="e">
        <f t="shared" si="4"/>
        <v>#DIV/0!</v>
      </c>
      <c r="N18" s="303"/>
      <c r="O18" s="177"/>
      <c r="P18" s="279" t="e">
        <f t="shared" si="5"/>
        <v>#DIV/0!</v>
      </c>
      <c r="Q18" s="298"/>
      <c r="R18" s="297"/>
      <c r="S18" s="297"/>
      <c r="T18" s="271">
        <f t="shared" si="6"/>
        <v>0</v>
      </c>
      <c r="U18" s="273"/>
      <c r="V18" s="289" t="e">
        <f t="shared" si="7"/>
        <v>#DIV/0!</v>
      </c>
      <c r="W18" s="239"/>
      <c r="X18" s="239"/>
      <c r="Y18" s="270" t="e">
        <f t="shared" si="8"/>
        <v>#DIV/0!</v>
      </c>
      <c r="Z18" s="176"/>
      <c r="AA18" s="177"/>
      <c r="AB18" s="271" t="e">
        <f t="shared" si="11"/>
        <v>#DIV/0!</v>
      </c>
      <c r="AC18" s="176"/>
      <c r="AD18" s="176"/>
      <c r="AE18" s="282" t="e">
        <f t="shared" si="9"/>
        <v>#DIV/0!</v>
      </c>
      <c r="AF18" s="175"/>
      <c r="AG18" s="52" t="e">
        <f t="shared" si="0"/>
        <v>#DIV/0!</v>
      </c>
      <c r="AH18" s="176"/>
      <c r="AI18" s="235"/>
      <c r="AJ18" s="176"/>
      <c r="AK18" s="176"/>
      <c r="AL18" s="227"/>
      <c r="AM18" s="260"/>
      <c r="AN18" s="172" t="e">
        <f t="shared" si="12"/>
        <v>#DIV/0!</v>
      </c>
      <c r="AO18" s="258">
        <f t="shared" si="10"/>
        <v>0</v>
      </c>
    </row>
    <row r="19" spans="1:41" ht="20.100000000000001" customHeight="1" x14ac:dyDescent="0.25">
      <c r="A19" s="283">
        <v>14</v>
      </c>
      <c r="B19" s="164"/>
      <c r="C19" s="165"/>
      <c r="D19" s="165"/>
      <c r="E19" s="176"/>
      <c r="F19" s="165"/>
      <c r="G19" s="176"/>
      <c r="H19" s="52">
        <f t="shared" si="1"/>
        <v>0</v>
      </c>
      <c r="I19" s="177"/>
      <c r="J19" s="94" t="e">
        <f t="shared" si="2"/>
        <v>#DIV/0!</v>
      </c>
      <c r="K19" s="260"/>
      <c r="L19" s="279" t="e">
        <f t="shared" si="3"/>
        <v>#DIV/0!</v>
      </c>
      <c r="M19" s="280" t="e">
        <f t="shared" si="4"/>
        <v>#DIV/0!</v>
      </c>
      <c r="N19" s="303"/>
      <c r="O19" s="177"/>
      <c r="P19" s="279" t="e">
        <f t="shared" si="5"/>
        <v>#DIV/0!</v>
      </c>
      <c r="Q19" s="298"/>
      <c r="R19" s="297"/>
      <c r="S19" s="297"/>
      <c r="T19" s="271">
        <f t="shared" si="6"/>
        <v>0</v>
      </c>
      <c r="U19" s="273"/>
      <c r="V19" s="289" t="e">
        <f t="shared" si="7"/>
        <v>#DIV/0!</v>
      </c>
      <c r="W19" s="239"/>
      <c r="X19" s="284"/>
      <c r="Y19" s="270" t="e">
        <f t="shared" si="8"/>
        <v>#DIV/0!</v>
      </c>
      <c r="Z19" s="176"/>
      <c r="AA19" s="177"/>
      <c r="AB19" s="271" t="e">
        <f t="shared" si="11"/>
        <v>#DIV/0!</v>
      </c>
      <c r="AC19" s="176"/>
      <c r="AD19" s="176"/>
      <c r="AE19" s="282" t="e">
        <f t="shared" si="9"/>
        <v>#DIV/0!</v>
      </c>
      <c r="AF19" s="175"/>
      <c r="AG19" s="52" t="e">
        <f t="shared" si="0"/>
        <v>#DIV/0!</v>
      </c>
      <c r="AH19" s="176"/>
      <c r="AI19" s="235"/>
      <c r="AJ19" s="177"/>
      <c r="AK19" s="176"/>
      <c r="AL19" s="227"/>
      <c r="AM19" s="260"/>
      <c r="AN19" s="172" t="e">
        <f t="shared" si="12"/>
        <v>#DIV/0!</v>
      </c>
      <c r="AO19" s="258">
        <f t="shared" si="10"/>
        <v>0</v>
      </c>
    </row>
    <row r="20" spans="1:41" ht="20.100000000000001" customHeight="1" x14ac:dyDescent="0.25">
      <c r="A20" s="283">
        <v>15</v>
      </c>
      <c r="B20" s="175"/>
      <c r="C20" s="176"/>
      <c r="D20" s="165"/>
      <c r="E20" s="176"/>
      <c r="F20" s="165"/>
      <c r="G20" s="176"/>
      <c r="H20" s="52">
        <f t="shared" si="1"/>
        <v>0</v>
      </c>
      <c r="I20" s="177"/>
      <c r="J20" s="94" t="e">
        <f t="shared" si="2"/>
        <v>#DIV/0!</v>
      </c>
      <c r="K20" s="260"/>
      <c r="L20" s="279" t="e">
        <f t="shared" si="3"/>
        <v>#DIV/0!</v>
      </c>
      <c r="M20" s="280" t="e">
        <f t="shared" si="4"/>
        <v>#DIV/0!</v>
      </c>
      <c r="N20" s="303"/>
      <c r="O20" s="177"/>
      <c r="P20" s="279" t="e">
        <f t="shared" si="5"/>
        <v>#DIV/0!</v>
      </c>
      <c r="Q20" s="298"/>
      <c r="R20" s="297"/>
      <c r="S20" s="297"/>
      <c r="T20" s="271">
        <f t="shared" si="6"/>
        <v>0</v>
      </c>
      <c r="U20" s="273"/>
      <c r="V20" s="289" t="e">
        <f t="shared" si="7"/>
        <v>#DIV/0!</v>
      </c>
      <c r="W20" s="239"/>
      <c r="X20" s="239"/>
      <c r="Y20" s="270" t="e">
        <f t="shared" si="8"/>
        <v>#DIV/0!</v>
      </c>
      <c r="Z20" s="176"/>
      <c r="AA20" s="177"/>
      <c r="AB20" s="271" t="e">
        <f t="shared" si="11"/>
        <v>#DIV/0!</v>
      </c>
      <c r="AC20" s="176"/>
      <c r="AD20" s="176"/>
      <c r="AE20" s="282" t="e">
        <f t="shared" si="9"/>
        <v>#DIV/0!</v>
      </c>
      <c r="AF20" s="175"/>
      <c r="AG20" s="52" t="e">
        <f t="shared" si="0"/>
        <v>#DIV/0!</v>
      </c>
      <c r="AH20" s="176"/>
      <c r="AI20" s="235"/>
      <c r="AJ20" s="176"/>
      <c r="AK20" s="176"/>
      <c r="AL20" s="227"/>
      <c r="AM20" s="260"/>
      <c r="AN20" s="172" t="e">
        <f t="shared" si="12"/>
        <v>#DIV/0!</v>
      </c>
      <c r="AO20" s="258">
        <f t="shared" si="10"/>
        <v>0</v>
      </c>
    </row>
    <row r="21" spans="1:41" ht="20.100000000000001" customHeight="1" x14ac:dyDescent="0.25">
      <c r="A21" s="283">
        <v>16</v>
      </c>
      <c r="B21" s="164"/>
      <c r="C21" s="165"/>
      <c r="D21" s="176"/>
      <c r="E21" s="176"/>
      <c r="F21" s="165"/>
      <c r="G21" s="176"/>
      <c r="H21" s="52">
        <f t="shared" si="1"/>
        <v>0</v>
      </c>
      <c r="I21" s="177"/>
      <c r="J21" s="94" t="e">
        <f t="shared" si="2"/>
        <v>#DIV/0!</v>
      </c>
      <c r="K21" s="260"/>
      <c r="L21" s="279" t="e">
        <f t="shared" si="3"/>
        <v>#DIV/0!</v>
      </c>
      <c r="M21" s="280" t="e">
        <f t="shared" si="4"/>
        <v>#DIV/0!</v>
      </c>
      <c r="N21" s="204"/>
      <c r="O21" s="177"/>
      <c r="P21" s="279" t="e">
        <f t="shared" si="5"/>
        <v>#DIV/0!</v>
      </c>
      <c r="Q21" s="298"/>
      <c r="R21" s="297"/>
      <c r="S21" s="297"/>
      <c r="T21" s="271">
        <f t="shared" si="6"/>
        <v>0</v>
      </c>
      <c r="U21" s="273"/>
      <c r="V21" s="289" t="e">
        <f t="shared" si="7"/>
        <v>#DIV/0!</v>
      </c>
      <c r="W21" s="239"/>
      <c r="X21" s="239"/>
      <c r="Y21" s="270" t="e">
        <f t="shared" si="8"/>
        <v>#DIV/0!</v>
      </c>
      <c r="Z21" s="176"/>
      <c r="AA21" s="177"/>
      <c r="AB21" s="271" t="e">
        <f t="shared" si="11"/>
        <v>#DIV/0!</v>
      </c>
      <c r="AC21" s="176"/>
      <c r="AD21" s="176"/>
      <c r="AE21" s="282" t="e">
        <f t="shared" si="9"/>
        <v>#DIV/0!</v>
      </c>
      <c r="AF21" s="175"/>
      <c r="AG21" s="52" t="e">
        <f t="shared" si="0"/>
        <v>#DIV/0!</v>
      </c>
      <c r="AH21" s="176"/>
      <c r="AI21" s="235"/>
      <c r="AJ21" s="176"/>
      <c r="AK21" s="176"/>
      <c r="AL21" s="227"/>
      <c r="AM21" s="260"/>
      <c r="AN21" s="172" t="e">
        <f t="shared" si="12"/>
        <v>#DIV/0!</v>
      </c>
      <c r="AO21" s="258">
        <f t="shared" si="10"/>
        <v>0</v>
      </c>
    </row>
    <row r="22" spans="1:41" ht="20.100000000000001" customHeight="1" x14ac:dyDescent="0.25">
      <c r="A22" s="283">
        <v>17</v>
      </c>
      <c r="B22" s="175"/>
      <c r="C22" s="176"/>
      <c r="D22" s="165"/>
      <c r="E22" s="176"/>
      <c r="F22" s="165"/>
      <c r="G22" s="176"/>
      <c r="H22" s="52">
        <f t="shared" si="1"/>
        <v>0</v>
      </c>
      <c r="I22" s="177"/>
      <c r="J22" s="94" t="e">
        <f t="shared" si="2"/>
        <v>#DIV/0!</v>
      </c>
      <c r="K22" s="260"/>
      <c r="L22" s="279" t="e">
        <f t="shared" si="3"/>
        <v>#DIV/0!</v>
      </c>
      <c r="M22" s="280" t="e">
        <f t="shared" si="4"/>
        <v>#DIV/0!</v>
      </c>
      <c r="N22" s="204"/>
      <c r="O22" s="177"/>
      <c r="P22" s="279" t="e">
        <f t="shared" si="5"/>
        <v>#DIV/0!</v>
      </c>
      <c r="Q22" s="298"/>
      <c r="R22" s="297"/>
      <c r="S22" s="297"/>
      <c r="T22" s="271">
        <f t="shared" si="6"/>
        <v>0</v>
      </c>
      <c r="U22" s="273"/>
      <c r="V22" s="289" t="e">
        <f t="shared" si="7"/>
        <v>#DIV/0!</v>
      </c>
      <c r="W22" s="239"/>
      <c r="X22" s="239"/>
      <c r="Y22" s="270" t="e">
        <f t="shared" si="8"/>
        <v>#DIV/0!</v>
      </c>
      <c r="Z22" s="176"/>
      <c r="AA22" s="177"/>
      <c r="AB22" s="271" t="e">
        <f t="shared" si="11"/>
        <v>#DIV/0!</v>
      </c>
      <c r="AC22" s="176"/>
      <c r="AD22" s="176"/>
      <c r="AE22" s="282" t="e">
        <f t="shared" si="9"/>
        <v>#DIV/0!</v>
      </c>
      <c r="AF22" s="175"/>
      <c r="AG22" s="52" t="e">
        <f t="shared" si="0"/>
        <v>#DIV/0!</v>
      </c>
      <c r="AH22" s="176"/>
      <c r="AI22" s="235"/>
      <c r="AJ22" s="176"/>
      <c r="AK22" s="176"/>
      <c r="AL22" s="227"/>
      <c r="AM22" s="260"/>
      <c r="AN22" s="172" t="e">
        <f t="shared" si="12"/>
        <v>#DIV/0!</v>
      </c>
      <c r="AO22" s="258">
        <f t="shared" si="10"/>
        <v>0</v>
      </c>
    </row>
    <row r="23" spans="1:41" ht="20.100000000000001" customHeight="1" x14ac:dyDescent="0.25">
      <c r="A23" s="283">
        <v>18</v>
      </c>
      <c r="B23" s="175"/>
      <c r="C23" s="176"/>
      <c r="D23" s="165"/>
      <c r="E23" s="176"/>
      <c r="F23" s="165"/>
      <c r="G23" s="176"/>
      <c r="H23" s="52">
        <f t="shared" si="1"/>
        <v>0</v>
      </c>
      <c r="I23" s="177"/>
      <c r="J23" s="94" t="e">
        <f t="shared" si="2"/>
        <v>#DIV/0!</v>
      </c>
      <c r="K23" s="260"/>
      <c r="L23" s="279" t="e">
        <f t="shared" si="3"/>
        <v>#DIV/0!</v>
      </c>
      <c r="M23" s="280" t="e">
        <f t="shared" si="4"/>
        <v>#DIV/0!</v>
      </c>
      <c r="N23" s="204"/>
      <c r="O23" s="177"/>
      <c r="P23" s="279" t="e">
        <f t="shared" si="5"/>
        <v>#DIV/0!</v>
      </c>
      <c r="Q23" s="298"/>
      <c r="R23" s="297"/>
      <c r="S23" s="297"/>
      <c r="T23" s="271">
        <f t="shared" si="6"/>
        <v>0</v>
      </c>
      <c r="U23" s="273"/>
      <c r="V23" s="289" t="e">
        <f t="shared" si="7"/>
        <v>#DIV/0!</v>
      </c>
      <c r="W23" s="239"/>
      <c r="X23" s="239"/>
      <c r="Y23" s="270" t="e">
        <f t="shared" si="8"/>
        <v>#DIV/0!</v>
      </c>
      <c r="Z23" s="176"/>
      <c r="AA23" s="177"/>
      <c r="AB23" s="271" t="e">
        <f t="shared" si="11"/>
        <v>#DIV/0!</v>
      </c>
      <c r="AC23" s="176"/>
      <c r="AD23" s="176"/>
      <c r="AE23" s="282" t="e">
        <f t="shared" si="9"/>
        <v>#DIV/0!</v>
      </c>
      <c r="AF23" s="175"/>
      <c r="AG23" s="52" t="e">
        <f t="shared" si="0"/>
        <v>#DIV/0!</v>
      </c>
      <c r="AH23" s="176"/>
      <c r="AI23" s="235"/>
      <c r="AJ23" s="176"/>
      <c r="AK23" s="176"/>
      <c r="AL23" s="227"/>
      <c r="AM23" s="260"/>
      <c r="AN23" s="172" t="e">
        <f t="shared" si="12"/>
        <v>#DIV/0!</v>
      </c>
      <c r="AO23" s="258">
        <f t="shared" si="10"/>
        <v>0</v>
      </c>
    </row>
    <row r="24" spans="1:41" ht="20.100000000000001" customHeight="1" x14ac:dyDescent="0.25">
      <c r="A24" s="283">
        <v>19</v>
      </c>
      <c r="B24" s="175"/>
      <c r="C24" s="176"/>
      <c r="D24" s="165"/>
      <c r="E24" s="176"/>
      <c r="F24" s="165"/>
      <c r="G24" s="176"/>
      <c r="H24" s="52">
        <f t="shared" si="1"/>
        <v>0</v>
      </c>
      <c r="I24" s="177"/>
      <c r="J24" s="94" t="e">
        <f t="shared" si="2"/>
        <v>#DIV/0!</v>
      </c>
      <c r="K24" s="260"/>
      <c r="L24" s="279" t="e">
        <f t="shared" si="3"/>
        <v>#DIV/0!</v>
      </c>
      <c r="M24" s="280" t="e">
        <f t="shared" si="4"/>
        <v>#DIV/0!</v>
      </c>
      <c r="N24" s="204"/>
      <c r="O24" s="177"/>
      <c r="P24" s="279" t="e">
        <f t="shared" si="5"/>
        <v>#DIV/0!</v>
      </c>
      <c r="Q24" s="110"/>
      <c r="R24" s="110"/>
      <c r="S24" s="110"/>
      <c r="T24" s="271">
        <f t="shared" si="6"/>
        <v>0</v>
      </c>
      <c r="U24" s="273"/>
      <c r="V24" s="289" t="e">
        <f t="shared" si="7"/>
        <v>#DIV/0!</v>
      </c>
      <c r="W24" s="239"/>
      <c r="X24" s="239"/>
      <c r="Y24" s="270" t="e">
        <f t="shared" si="8"/>
        <v>#DIV/0!</v>
      </c>
      <c r="Z24" s="176"/>
      <c r="AA24" s="177"/>
      <c r="AB24" s="271" t="e">
        <f t="shared" si="11"/>
        <v>#DIV/0!</v>
      </c>
      <c r="AC24" s="176"/>
      <c r="AD24" s="176"/>
      <c r="AE24" s="282" t="e">
        <f t="shared" si="9"/>
        <v>#DIV/0!</v>
      </c>
      <c r="AF24" s="175"/>
      <c r="AG24" s="52" t="e">
        <f t="shared" si="0"/>
        <v>#DIV/0!</v>
      </c>
      <c r="AH24" s="176"/>
      <c r="AI24" s="235"/>
      <c r="AJ24" s="176"/>
      <c r="AK24" s="176"/>
      <c r="AL24" s="227"/>
      <c r="AM24" s="260"/>
      <c r="AN24" s="172" t="e">
        <f t="shared" si="12"/>
        <v>#DIV/0!</v>
      </c>
      <c r="AO24" s="258">
        <f t="shared" si="10"/>
        <v>0</v>
      </c>
    </row>
    <row r="25" spans="1:41" ht="20.100000000000001" customHeight="1" x14ac:dyDescent="0.25">
      <c r="A25" s="283">
        <v>20</v>
      </c>
      <c r="B25" s="164"/>
      <c r="C25" s="165"/>
      <c r="D25" s="176"/>
      <c r="E25" s="176"/>
      <c r="F25" s="165"/>
      <c r="G25" s="176"/>
      <c r="H25" s="52">
        <f t="shared" si="1"/>
        <v>0</v>
      </c>
      <c r="I25" s="177"/>
      <c r="J25" s="94" t="e">
        <f t="shared" si="2"/>
        <v>#DIV/0!</v>
      </c>
      <c r="K25" s="260"/>
      <c r="L25" s="279" t="e">
        <f t="shared" si="3"/>
        <v>#DIV/0!</v>
      </c>
      <c r="M25" s="280" t="e">
        <f t="shared" si="4"/>
        <v>#DIV/0!</v>
      </c>
      <c r="N25" s="204"/>
      <c r="O25" s="177"/>
      <c r="P25" s="279" t="e">
        <f t="shared" si="5"/>
        <v>#DIV/0!</v>
      </c>
      <c r="Q25" s="110"/>
      <c r="R25" s="110"/>
      <c r="S25" s="110"/>
      <c r="T25" s="271">
        <f t="shared" si="6"/>
        <v>0</v>
      </c>
      <c r="U25" s="273"/>
      <c r="V25" s="289" t="e">
        <f t="shared" si="7"/>
        <v>#DIV/0!</v>
      </c>
      <c r="W25" s="239"/>
      <c r="X25" s="239"/>
      <c r="Y25" s="270" t="e">
        <f t="shared" si="8"/>
        <v>#DIV/0!</v>
      </c>
      <c r="Z25" s="176"/>
      <c r="AA25" s="177"/>
      <c r="AB25" s="271" t="e">
        <f t="shared" si="11"/>
        <v>#DIV/0!</v>
      </c>
      <c r="AC25" s="176"/>
      <c r="AD25" s="176"/>
      <c r="AE25" s="282" t="e">
        <f t="shared" si="9"/>
        <v>#DIV/0!</v>
      </c>
      <c r="AF25" s="175"/>
      <c r="AG25" s="52" t="e">
        <f t="shared" si="0"/>
        <v>#DIV/0!</v>
      </c>
      <c r="AH25" s="176"/>
      <c r="AI25" s="235"/>
      <c r="AJ25" s="176"/>
      <c r="AK25" s="176"/>
      <c r="AL25" s="227"/>
      <c r="AM25" s="260"/>
      <c r="AN25" s="172" t="e">
        <f t="shared" si="12"/>
        <v>#DIV/0!</v>
      </c>
      <c r="AO25" s="258">
        <f t="shared" si="10"/>
        <v>0</v>
      </c>
    </row>
    <row r="26" spans="1:41" ht="20.100000000000001" customHeight="1" x14ac:dyDescent="0.25">
      <c r="A26" s="283">
        <v>21</v>
      </c>
      <c r="B26" s="164"/>
      <c r="C26" s="165"/>
      <c r="D26" s="176"/>
      <c r="E26" s="176"/>
      <c r="F26" s="165"/>
      <c r="G26" s="176"/>
      <c r="H26" s="52">
        <f t="shared" si="1"/>
        <v>0</v>
      </c>
      <c r="I26" s="177"/>
      <c r="J26" s="94" t="e">
        <f t="shared" si="2"/>
        <v>#DIV/0!</v>
      </c>
      <c r="K26" s="260"/>
      <c r="L26" s="279" t="e">
        <f t="shared" si="3"/>
        <v>#DIV/0!</v>
      </c>
      <c r="M26" s="280" t="e">
        <f t="shared" si="4"/>
        <v>#DIV/0!</v>
      </c>
      <c r="N26" s="204"/>
      <c r="O26" s="177"/>
      <c r="P26" s="279" t="e">
        <f t="shared" si="5"/>
        <v>#DIV/0!</v>
      </c>
      <c r="Q26" s="110"/>
      <c r="R26" s="110"/>
      <c r="S26" s="110"/>
      <c r="T26" s="271">
        <f t="shared" si="6"/>
        <v>0</v>
      </c>
      <c r="U26" s="273"/>
      <c r="V26" s="289" t="e">
        <f t="shared" si="7"/>
        <v>#DIV/0!</v>
      </c>
      <c r="W26" s="239"/>
      <c r="X26" s="239"/>
      <c r="Y26" s="270" t="e">
        <f t="shared" si="8"/>
        <v>#DIV/0!</v>
      </c>
      <c r="Z26" s="176"/>
      <c r="AA26" s="177"/>
      <c r="AB26" s="271" t="e">
        <f t="shared" si="11"/>
        <v>#DIV/0!</v>
      </c>
      <c r="AC26" s="176"/>
      <c r="AD26" s="176"/>
      <c r="AE26" s="282" t="e">
        <f t="shared" si="9"/>
        <v>#DIV/0!</v>
      </c>
      <c r="AF26" s="175"/>
      <c r="AG26" s="52" t="e">
        <f t="shared" si="0"/>
        <v>#DIV/0!</v>
      </c>
      <c r="AH26" s="176"/>
      <c r="AI26" s="235"/>
      <c r="AJ26" s="176"/>
      <c r="AK26" s="176"/>
      <c r="AL26" s="227"/>
      <c r="AM26" s="260"/>
      <c r="AN26" s="172" t="e">
        <f t="shared" si="12"/>
        <v>#DIV/0!</v>
      </c>
      <c r="AO26" s="258">
        <f t="shared" si="10"/>
        <v>0</v>
      </c>
    </row>
    <row r="27" spans="1:41" ht="20.100000000000001" customHeight="1" x14ac:dyDescent="0.25">
      <c r="A27" s="283">
        <v>22</v>
      </c>
      <c r="B27" s="164"/>
      <c r="C27" s="165"/>
      <c r="D27" s="176"/>
      <c r="E27" s="176"/>
      <c r="F27" s="165"/>
      <c r="G27" s="176"/>
      <c r="H27" s="52">
        <f t="shared" si="1"/>
        <v>0</v>
      </c>
      <c r="I27" s="177"/>
      <c r="J27" s="94" t="e">
        <f t="shared" si="2"/>
        <v>#DIV/0!</v>
      </c>
      <c r="K27" s="260"/>
      <c r="L27" s="279" t="e">
        <f t="shared" si="3"/>
        <v>#DIV/0!</v>
      </c>
      <c r="M27" s="280" t="e">
        <f t="shared" si="4"/>
        <v>#DIV/0!</v>
      </c>
      <c r="N27" s="204"/>
      <c r="O27" s="177"/>
      <c r="P27" s="279" t="e">
        <f t="shared" si="5"/>
        <v>#DIV/0!</v>
      </c>
      <c r="Q27" s="110"/>
      <c r="R27" s="110"/>
      <c r="S27" s="110"/>
      <c r="T27" s="271">
        <f t="shared" si="6"/>
        <v>0</v>
      </c>
      <c r="U27" s="273"/>
      <c r="V27" s="289" t="e">
        <f t="shared" si="7"/>
        <v>#DIV/0!</v>
      </c>
      <c r="W27" s="239"/>
      <c r="X27" s="239"/>
      <c r="Y27" s="270" t="e">
        <f t="shared" si="8"/>
        <v>#DIV/0!</v>
      </c>
      <c r="Z27" s="176"/>
      <c r="AA27" s="177"/>
      <c r="AB27" s="271" t="e">
        <f t="shared" si="11"/>
        <v>#DIV/0!</v>
      </c>
      <c r="AC27" s="176"/>
      <c r="AD27" s="176"/>
      <c r="AE27" s="282" t="e">
        <f t="shared" si="9"/>
        <v>#DIV/0!</v>
      </c>
      <c r="AF27" s="175"/>
      <c r="AG27" s="52" t="e">
        <f t="shared" si="0"/>
        <v>#DIV/0!</v>
      </c>
      <c r="AH27" s="176"/>
      <c r="AI27" s="235"/>
      <c r="AJ27" s="176"/>
      <c r="AK27" s="176"/>
      <c r="AL27" s="227"/>
      <c r="AM27" s="260"/>
      <c r="AN27" s="172" t="e">
        <f t="shared" si="12"/>
        <v>#DIV/0!</v>
      </c>
      <c r="AO27" s="258">
        <f t="shared" si="10"/>
        <v>0</v>
      </c>
    </row>
    <row r="28" spans="1:41" ht="20.100000000000001" customHeight="1" x14ac:dyDescent="0.25">
      <c r="A28" s="283">
        <v>23</v>
      </c>
      <c r="B28" s="164"/>
      <c r="C28" s="165"/>
      <c r="D28" s="165"/>
      <c r="E28" s="176"/>
      <c r="F28" s="165"/>
      <c r="G28" s="176"/>
      <c r="H28" s="52">
        <f t="shared" si="1"/>
        <v>0</v>
      </c>
      <c r="I28" s="177"/>
      <c r="J28" s="94" t="e">
        <f t="shared" si="2"/>
        <v>#DIV/0!</v>
      </c>
      <c r="K28" s="260"/>
      <c r="L28" s="279" t="e">
        <f t="shared" si="3"/>
        <v>#DIV/0!</v>
      </c>
      <c r="M28" s="280" t="e">
        <f t="shared" si="4"/>
        <v>#DIV/0!</v>
      </c>
      <c r="N28" s="175"/>
      <c r="O28" s="177"/>
      <c r="P28" s="279" t="e">
        <f t="shared" si="5"/>
        <v>#DIV/0!</v>
      </c>
      <c r="Q28" s="110"/>
      <c r="R28" s="110"/>
      <c r="S28" s="110"/>
      <c r="T28" s="271">
        <f t="shared" si="6"/>
        <v>0</v>
      </c>
      <c r="U28" s="273"/>
      <c r="V28" s="289" t="e">
        <f t="shared" si="7"/>
        <v>#DIV/0!</v>
      </c>
      <c r="W28" s="239"/>
      <c r="X28" s="239"/>
      <c r="Y28" s="270" t="e">
        <f t="shared" si="8"/>
        <v>#DIV/0!</v>
      </c>
      <c r="Z28" s="176"/>
      <c r="AA28" s="177"/>
      <c r="AB28" s="271" t="e">
        <f t="shared" si="11"/>
        <v>#DIV/0!</v>
      </c>
      <c r="AC28" s="176"/>
      <c r="AD28" s="176"/>
      <c r="AE28" s="282" t="e">
        <f t="shared" si="9"/>
        <v>#DIV/0!</v>
      </c>
      <c r="AF28" s="175"/>
      <c r="AG28" s="52" t="e">
        <f t="shared" si="0"/>
        <v>#DIV/0!</v>
      </c>
      <c r="AH28" s="176"/>
      <c r="AI28" s="235"/>
      <c r="AJ28" s="176"/>
      <c r="AK28" s="176"/>
      <c r="AL28" s="227"/>
      <c r="AM28" s="260"/>
      <c r="AN28" s="172" t="e">
        <f t="shared" si="12"/>
        <v>#DIV/0!</v>
      </c>
      <c r="AO28" s="258">
        <f t="shared" si="10"/>
        <v>0</v>
      </c>
    </row>
    <row r="29" spans="1:41" ht="20.100000000000001" customHeight="1" x14ac:dyDescent="0.25">
      <c r="A29" s="283">
        <v>24</v>
      </c>
      <c r="B29" s="164"/>
      <c r="C29" s="165"/>
      <c r="D29" s="165"/>
      <c r="E29" s="176"/>
      <c r="F29" s="165"/>
      <c r="G29" s="176"/>
      <c r="H29" s="52">
        <f t="shared" si="1"/>
        <v>0</v>
      </c>
      <c r="I29" s="177"/>
      <c r="J29" s="94" t="e">
        <f t="shared" si="2"/>
        <v>#DIV/0!</v>
      </c>
      <c r="K29" s="260"/>
      <c r="L29" s="279" t="e">
        <f t="shared" si="3"/>
        <v>#DIV/0!</v>
      </c>
      <c r="M29" s="280" t="e">
        <f t="shared" si="4"/>
        <v>#DIV/0!</v>
      </c>
      <c r="N29" s="175"/>
      <c r="O29" s="177"/>
      <c r="P29" s="279" t="e">
        <f t="shared" si="5"/>
        <v>#DIV/0!</v>
      </c>
      <c r="Q29" s="110"/>
      <c r="R29" s="110"/>
      <c r="S29" s="110"/>
      <c r="T29" s="271">
        <f t="shared" si="6"/>
        <v>0</v>
      </c>
      <c r="U29" s="273"/>
      <c r="V29" s="289" t="e">
        <f t="shared" si="7"/>
        <v>#DIV/0!</v>
      </c>
      <c r="W29" s="239"/>
      <c r="X29" s="239"/>
      <c r="Y29" s="270" t="e">
        <f t="shared" si="8"/>
        <v>#DIV/0!</v>
      </c>
      <c r="Z29" s="176"/>
      <c r="AA29" s="177"/>
      <c r="AB29" s="271" t="e">
        <f t="shared" si="11"/>
        <v>#DIV/0!</v>
      </c>
      <c r="AC29" s="176"/>
      <c r="AD29" s="176"/>
      <c r="AE29" s="282" t="e">
        <f t="shared" si="9"/>
        <v>#DIV/0!</v>
      </c>
      <c r="AF29" s="175"/>
      <c r="AG29" s="52" t="e">
        <f t="shared" si="0"/>
        <v>#DIV/0!</v>
      </c>
      <c r="AH29" s="176"/>
      <c r="AI29" s="235"/>
      <c r="AJ29" s="176"/>
      <c r="AK29" s="176"/>
      <c r="AL29" s="227"/>
      <c r="AM29" s="260"/>
      <c r="AN29" s="172" t="e">
        <f t="shared" si="12"/>
        <v>#DIV/0!</v>
      </c>
      <c r="AO29" s="258">
        <f t="shared" si="10"/>
        <v>0</v>
      </c>
    </row>
    <row r="30" spans="1:41" ht="20.100000000000001" customHeight="1" x14ac:dyDescent="0.25">
      <c r="A30" s="283">
        <v>25</v>
      </c>
      <c r="B30" s="164"/>
      <c r="C30" s="165"/>
      <c r="D30" s="165"/>
      <c r="E30" s="176"/>
      <c r="F30" s="165"/>
      <c r="G30" s="176"/>
      <c r="H30" s="52">
        <f t="shared" si="1"/>
        <v>0</v>
      </c>
      <c r="I30" s="177"/>
      <c r="J30" s="94" t="e">
        <f t="shared" si="2"/>
        <v>#DIV/0!</v>
      </c>
      <c r="K30" s="261"/>
      <c r="L30" s="279" t="e">
        <f t="shared" si="3"/>
        <v>#DIV/0!</v>
      </c>
      <c r="M30" s="280" t="e">
        <f t="shared" si="4"/>
        <v>#DIV/0!</v>
      </c>
      <c r="N30" s="175"/>
      <c r="O30" s="177"/>
      <c r="P30" s="279" t="e">
        <f t="shared" si="5"/>
        <v>#DIV/0!</v>
      </c>
      <c r="Q30" s="298"/>
      <c r="R30" s="297"/>
      <c r="S30" s="297"/>
      <c r="T30" s="271">
        <f t="shared" si="6"/>
        <v>0</v>
      </c>
      <c r="U30" s="273"/>
      <c r="V30" s="289" t="e">
        <f t="shared" si="7"/>
        <v>#DIV/0!</v>
      </c>
      <c r="W30" s="239"/>
      <c r="X30" s="239"/>
      <c r="Y30" s="270" t="e">
        <f t="shared" si="8"/>
        <v>#DIV/0!</v>
      </c>
      <c r="Z30" s="176"/>
      <c r="AA30" s="177"/>
      <c r="AB30" s="271" t="e">
        <f t="shared" si="11"/>
        <v>#DIV/0!</v>
      </c>
      <c r="AC30" s="176"/>
      <c r="AD30" s="176"/>
      <c r="AE30" s="282" t="e">
        <f t="shared" si="9"/>
        <v>#DIV/0!</v>
      </c>
      <c r="AF30" s="175"/>
      <c r="AG30" s="52" t="e">
        <f t="shared" si="0"/>
        <v>#DIV/0!</v>
      </c>
      <c r="AH30" s="176"/>
      <c r="AI30" s="235"/>
      <c r="AJ30" s="235"/>
      <c r="AK30" s="176"/>
      <c r="AL30" s="227"/>
      <c r="AM30" s="260"/>
      <c r="AN30" s="172" t="e">
        <f t="shared" si="12"/>
        <v>#DIV/0!</v>
      </c>
      <c r="AO30" s="258">
        <f t="shared" si="10"/>
        <v>0</v>
      </c>
    </row>
    <row r="31" spans="1:41" ht="20.100000000000001" customHeight="1" x14ac:dyDescent="0.25">
      <c r="A31" s="283">
        <v>26</v>
      </c>
      <c r="B31" s="164"/>
      <c r="C31" s="165"/>
      <c r="D31" s="165"/>
      <c r="E31" s="176"/>
      <c r="F31" s="165"/>
      <c r="G31" s="176"/>
      <c r="H31" s="52">
        <f t="shared" si="1"/>
        <v>0</v>
      </c>
      <c r="I31" s="177"/>
      <c r="J31" s="94" t="e">
        <f t="shared" si="2"/>
        <v>#DIV/0!</v>
      </c>
      <c r="K31" s="261"/>
      <c r="L31" s="279" t="e">
        <f t="shared" si="3"/>
        <v>#DIV/0!</v>
      </c>
      <c r="M31" s="280" t="e">
        <f t="shared" si="4"/>
        <v>#DIV/0!</v>
      </c>
      <c r="N31" s="175"/>
      <c r="O31" s="177"/>
      <c r="P31" s="279" t="e">
        <f t="shared" si="5"/>
        <v>#DIV/0!</v>
      </c>
      <c r="Q31" s="298"/>
      <c r="R31" s="297"/>
      <c r="S31" s="297"/>
      <c r="T31" s="271">
        <f t="shared" si="6"/>
        <v>0</v>
      </c>
      <c r="U31" s="273"/>
      <c r="V31" s="289" t="e">
        <f t="shared" si="7"/>
        <v>#DIV/0!</v>
      </c>
      <c r="W31" s="239"/>
      <c r="X31" s="239"/>
      <c r="Y31" s="270" t="e">
        <f t="shared" si="8"/>
        <v>#DIV/0!</v>
      </c>
      <c r="Z31" s="176"/>
      <c r="AA31" s="177"/>
      <c r="AB31" s="271" t="e">
        <f t="shared" si="11"/>
        <v>#DIV/0!</v>
      </c>
      <c r="AC31" s="176"/>
      <c r="AD31" s="176"/>
      <c r="AE31" s="282" t="e">
        <f t="shared" si="9"/>
        <v>#DIV/0!</v>
      </c>
      <c r="AF31" s="175"/>
      <c r="AG31" s="52" t="e">
        <f t="shared" si="0"/>
        <v>#DIV/0!</v>
      </c>
      <c r="AH31" s="176"/>
      <c r="AI31" s="235"/>
      <c r="AJ31" s="176"/>
      <c r="AK31" s="176"/>
      <c r="AL31" s="227"/>
      <c r="AM31" s="260"/>
      <c r="AN31" s="172" t="e">
        <f t="shared" si="12"/>
        <v>#DIV/0!</v>
      </c>
      <c r="AO31" s="258">
        <f t="shared" si="10"/>
        <v>0</v>
      </c>
    </row>
    <row r="32" spans="1:41" ht="20.100000000000001" customHeight="1" x14ac:dyDescent="0.25">
      <c r="A32" s="283">
        <v>27</v>
      </c>
      <c r="B32" s="164"/>
      <c r="C32" s="165"/>
      <c r="D32" s="176"/>
      <c r="E32" s="176"/>
      <c r="F32" s="165"/>
      <c r="G32" s="176"/>
      <c r="H32" s="52">
        <f t="shared" si="1"/>
        <v>0</v>
      </c>
      <c r="I32" s="177"/>
      <c r="J32" s="94" t="e">
        <f t="shared" si="2"/>
        <v>#DIV/0!</v>
      </c>
      <c r="K32" s="261"/>
      <c r="L32" s="279" t="e">
        <f t="shared" si="3"/>
        <v>#DIV/0!</v>
      </c>
      <c r="M32" s="280" t="e">
        <f t="shared" si="4"/>
        <v>#DIV/0!</v>
      </c>
      <c r="N32" s="175"/>
      <c r="O32" s="177"/>
      <c r="P32" s="279" t="e">
        <f t="shared" si="5"/>
        <v>#DIV/0!</v>
      </c>
      <c r="Q32" s="298"/>
      <c r="R32" s="297"/>
      <c r="S32" s="297"/>
      <c r="T32" s="271">
        <f t="shared" si="6"/>
        <v>0</v>
      </c>
      <c r="U32" s="273"/>
      <c r="V32" s="289" t="e">
        <f t="shared" si="7"/>
        <v>#DIV/0!</v>
      </c>
      <c r="W32" s="239"/>
      <c r="X32" s="239"/>
      <c r="Y32" s="270" t="e">
        <f t="shared" si="8"/>
        <v>#DIV/0!</v>
      </c>
      <c r="Z32" s="176"/>
      <c r="AA32" s="177"/>
      <c r="AB32" s="271" t="e">
        <f t="shared" si="11"/>
        <v>#DIV/0!</v>
      </c>
      <c r="AC32" s="176"/>
      <c r="AD32" s="176"/>
      <c r="AE32" s="282" t="e">
        <f t="shared" si="9"/>
        <v>#DIV/0!</v>
      </c>
      <c r="AF32" s="175"/>
      <c r="AG32" s="52" t="e">
        <f t="shared" si="0"/>
        <v>#DIV/0!</v>
      </c>
      <c r="AH32" s="176"/>
      <c r="AI32" s="235"/>
      <c r="AJ32" s="176"/>
      <c r="AK32" s="176"/>
      <c r="AL32" s="227"/>
      <c r="AM32" s="260"/>
      <c r="AN32" s="172" t="e">
        <f t="shared" si="12"/>
        <v>#DIV/0!</v>
      </c>
      <c r="AO32" s="258">
        <f t="shared" si="10"/>
        <v>0</v>
      </c>
    </row>
    <row r="33" spans="1:41" ht="20.100000000000001" customHeight="1" x14ac:dyDescent="0.25">
      <c r="A33" s="283">
        <v>28</v>
      </c>
      <c r="B33" s="164"/>
      <c r="C33" s="165"/>
      <c r="D33" s="176"/>
      <c r="E33" s="176"/>
      <c r="F33" s="165"/>
      <c r="G33" s="176"/>
      <c r="H33" s="52">
        <f t="shared" si="1"/>
        <v>0</v>
      </c>
      <c r="I33" s="177"/>
      <c r="J33" s="94" t="e">
        <f t="shared" si="2"/>
        <v>#DIV/0!</v>
      </c>
      <c r="K33" s="261"/>
      <c r="L33" s="279" t="e">
        <f t="shared" si="3"/>
        <v>#DIV/0!</v>
      </c>
      <c r="M33" s="280" t="e">
        <f t="shared" si="4"/>
        <v>#DIV/0!</v>
      </c>
      <c r="N33" s="175"/>
      <c r="O33" s="177"/>
      <c r="P33" s="279" t="e">
        <f t="shared" si="5"/>
        <v>#DIV/0!</v>
      </c>
      <c r="Q33" s="298"/>
      <c r="R33" s="297"/>
      <c r="S33" s="297"/>
      <c r="T33" s="271">
        <f t="shared" si="6"/>
        <v>0</v>
      </c>
      <c r="U33" s="273"/>
      <c r="V33" s="289" t="e">
        <f t="shared" si="7"/>
        <v>#DIV/0!</v>
      </c>
      <c r="W33" s="239"/>
      <c r="X33" s="239"/>
      <c r="Y33" s="270" t="e">
        <f t="shared" si="8"/>
        <v>#DIV/0!</v>
      </c>
      <c r="Z33" s="176"/>
      <c r="AA33" s="176"/>
      <c r="AB33" s="271" t="e">
        <f t="shared" si="11"/>
        <v>#DIV/0!</v>
      </c>
      <c r="AC33" s="176"/>
      <c r="AD33" s="176"/>
      <c r="AE33" s="282" t="e">
        <f t="shared" si="9"/>
        <v>#DIV/0!</v>
      </c>
      <c r="AF33" s="175"/>
      <c r="AG33" s="52" t="e">
        <f t="shared" si="0"/>
        <v>#DIV/0!</v>
      </c>
      <c r="AH33" s="176"/>
      <c r="AI33" s="235"/>
      <c r="AJ33" s="176"/>
      <c r="AK33" s="176"/>
      <c r="AL33" s="227"/>
      <c r="AM33" s="260"/>
      <c r="AN33" s="172" t="e">
        <f t="shared" si="12"/>
        <v>#DIV/0!</v>
      </c>
      <c r="AO33" s="258">
        <f t="shared" si="10"/>
        <v>0</v>
      </c>
    </row>
    <row r="34" spans="1:41" ht="20.100000000000001" customHeight="1" x14ac:dyDescent="0.25">
      <c r="A34" s="283">
        <v>29</v>
      </c>
      <c r="B34" s="164"/>
      <c r="C34" s="165"/>
      <c r="D34" s="176"/>
      <c r="E34" s="176"/>
      <c r="F34" s="165"/>
      <c r="G34" s="176"/>
      <c r="H34" s="52">
        <f t="shared" si="1"/>
        <v>0</v>
      </c>
      <c r="I34" s="177"/>
      <c r="J34" s="94" t="e">
        <f t="shared" si="2"/>
        <v>#DIV/0!</v>
      </c>
      <c r="K34" s="261"/>
      <c r="L34" s="279" t="e">
        <f t="shared" si="3"/>
        <v>#DIV/0!</v>
      </c>
      <c r="M34" s="280" t="e">
        <f t="shared" si="4"/>
        <v>#DIV/0!</v>
      </c>
      <c r="N34" s="175"/>
      <c r="O34" s="177"/>
      <c r="P34" s="279" t="e">
        <f t="shared" si="5"/>
        <v>#DIV/0!</v>
      </c>
      <c r="Q34" s="298"/>
      <c r="R34" s="297"/>
      <c r="S34" s="297"/>
      <c r="T34" s="271">
        <f t="shared" si="6"/>
        <v>0</v>
      </c>
      <c r="U34" s="273"/>
      <c r="V34" s="289" t="e">
        <f t="shared" si="7"/>
        <v>#DIV/0!</v>
      </c>
      <c r="W34" s="239"/>
      <c r="X34" s="239"/>
      <c r="Y34" s="270" t="e">
        <f t="shared" si="8"/>
        <v>#DIV/0!</v>
      </c>
      <c r="Z34" s="176"/>
      <c r="AA34" s="177"/>
      <c r="AB34" s="271" t="e">
        <f t="shared" si="11"/>
        <v>#DIV/0!</v>
      </c>
      <c r="AC34" s="176"/>
      <c r="AD34" s="176"/>
      <c r="AE34" s="282" t="e">
        <f t="shared" si="9"/>
        <v>#DIV/0!</v>
      </c>
      <c r="AF34" s="175"/>
      <c r="AG34" s="52" t="e">
        <f t="shared" si="0"/>
        <v>#DIV/0!</v>
      </c>
      <c r="AH34" s="176"/>
      <c r="AI34" s="235"/>
      <c r="AJ34" s="176"/>
      <c r="AK34" s="176"/>
      <c r="AL34" s="227"/>
      <c r="AM34" s="260"/>
      <c r="AN34" s="172" t="e">
        <f t="shared" si="12"/>
        <v>#DIV/0!</v>
      </c>
      <c r="AO34" s="258">
        <f t="shared" si="10"/>
        <v>0</v>
      </c>
    </row>
    <row r="35" spans="1:41" ht="20.100000000000001" customHeight="1" x14ac:dyDescent="0.25">
      <c r="A35" s="283">
        <v>30</v>
      </c>
      <c r="B35" s="164"/>
      <c r="C35" s="165"/>
      <c r="D35" s="176"/>
      <c r="E35" s="176"/>
      <c r="F35" s="165"/>
      <c r="G35" s="185"/>
      <c r="H35" s="52">
        <f t="shared" si="1"/>
        <v>0</v>
      </c>
      <c r="I35" s="177"/>
      <c r="J35" s="94" t="e">
        <f t="shared" si="2"/>
        <v>#DIV/0!</v>
      </c>
      <c r="K35" s="261"/>
      <c r="L35" s="279" t="e">
        <f t="shared" si="3"/>
        <v>#DIV/0!</v>
      </c>
      <c r="M35" s="280" t="e">
        <f t="shared" si="4"/>
        <v>#DIV/0!</v>
      </c>
      <c r="N35" s="175"/>
      <c r="O35" s="177"/>
      <c r="P35" s="279" t="e">
        <f t="shared" si="5"/>
        <v>#DIV/0!</v>
      </c>
      <c r="Q35" s="298"/>
      <c r="R35" s="297"/>
      <c r="S35" s="297"/>
      <c r="T35" s="271">
        <f t="shared" si="6"/>
        <v>0</v>
      </c>
      <c r="U35" s="273"/>
      <c r="V35" s="289" t="e">
        <f t="shared" si="7"/>
        <v>#DIV/0!</v>
      </c>
      <c r="W35" s="239"/>
      <c r="X35" s="239"/>
      <c r="Y35" s="270" t="e">
        <f t="shared" si="8"/>
        <v>#DIV/0!</v>
      </c>
      <c r="Z35" s="176"/>
      <c r="AA35" s="177"/>
      <c r="AB35" s="271" t="e">
        <f t="shared" si="11"/>
        <v>#DIV/0!</v>
      </c>
      <c r="AC35" s="176"/>
      <c r="AD35" s="176"/>
      <c r="AE35" s="282" t="e">
        <f t="shared" si="9"/>
        <v>#DIV/0!</v>
      </c>
      <c r="AF35" s="175"/>
      <c r="AG35" s="52" t="e">
        <f t="shared" si="0"/>
        <v>#DIV/0!</v>
      </c>
      <c r="AH35" s="185"/>
      <c r="AI35" s="251"/>
      <c r="AJ35" s="176"/>
      <c r="AK35" s="176"/>
      <c r="AL35" s="227"/>
      <c r="AM35" s="260"/>
      <c r="AN35" s="172" t="e">
        <f t="shared" si="12"/>
        <v>#DIV/0!</v>
      </c>
      <c r="AO35" s="258">
        <f t="shared" si="10"/>
        <v>0</v>
      </c>
    </row>
    <row r="36" spans="1:41" ht="20.100000000000001" customHeight="1" thickBot="1" x14ac:dyDescent="0.3">
      <c r="A36" s="283">
        <v>31</v>
      </c>
      <c r="B36" s="175"/>
      <c r="C36" s="176"/>
      <c r="D36" s="176"/>
      <c r="E36" s="176"/>
      <c r="F36" s="165"/>
      <c r="G36" s="185"/>
      <c r="H36" s="52">
        <f t="shared" si="1"/>
        <v>0</v>
      </c>
      <c r="I36" s="187"/>
      <c r="J36" s="94" t="e">
        <f t="shared" si="2"/>
        <v>#DIV/0!</v>
      </c>
      <c r="K36" s="262"/>
      <c r="L36" s="279" t="e">
        <f t="shared" si="3"/>
        <v>#DIV/0!</v>
      </c>
      <c r="M36" s="280" t="e">
        <f t="shared" ref="M36" si="13">+(I36+K36)/H36</f>
        <v>#DIV/0!</v>
      </c>
      <c r="N36" s="175"/>
      <c r="O36" s="177"/>
      <c r="P36" s="279" t="e">
        <f t="shared" si="5"/>
        <v>#DIV/0!</v>
      </c>
      <c r="Q36" s="298"/>
      <c r="R36" s="297"/>
      <c r="S36" s="297"/>
      <c r="T36" s="271">
        <f t="shared" si="6"/>
        <v>0</v>
      </c>
      <c r="U36" s="273"/>
      <c r="V36" s="289" t="e">
        <f t="shared" si="7"/>
        <v>#DIV/0!</v>
      </c>
      <c r="W36" s="248"/>
      <c r="X36" s="248"/>
      <c r="Y36" s="270" t="e">
        <f t="shared" si="8"/>
        <v>#DIV/0!</v>
      </c>
      <c r="Z36" s="185"/>
      <c r="AA36" s="187"/>
      <c r="AB36" s="271" t="e">
        <f t="shared" si="11"/>
        <v>#DIV/0!</v>
      </c>
      <c r="AC36" s="176"/>
      <c r="AD36" s="176"/>
      <c r="AE36" s="282" t="e">
        <f t="shared" si="9"/>
        <v>#DIV/0!</v>
      </c>
      <c r="AF36" s="184"/>
      <c r="AG36" s="52" t="e">
        <f t="shared" si="0"/>
        <v>#DIV/0!</v>
      </c>
      <c r="AH36" s="185"/>
      <c r="AI36" s="251"/>
      <c r="AJ36" s="176"/>
      <c r="AK36" s="176"/>
      <c r="AL36" s="227"/>
      <c r="AM36" s="260"/>
      <c r="AN36" s="172" t="e">
        <f t="shared" si="12"/>
        <v>#DIV/0!</v>
      </c>
      <c r="AO36" s="258">
        <f t="shared" si="10"/>
        <v>0</v>
      </c>
    </row>
    <row r="37" spans="1:41" ht="26.25" thickBot="1" x14ac:dyDescent="0.3">
      <c r="A37" s="202" t="s">
        <v>77</v>
      </c>
      <c r="B37" s="195">
        <f t="shared" ref="B37:K37" si="14">SUM(B6:B36)</f>
        <v>374</v>
      </c>
      <c r="C37" s="195">
        <f t="shared" si="14"/>
        <v>399</v>
      </c>
      <c r="D37" s="195">
        <f t="shared" si="14"/>
        <v>486</v>
      </c>
      <c r="E37" s="195">
        <f t="shared" si="14"/>
        <v>0</v>
      </c>
      <c r="F37" s="195">
        <f t="shared" si="14"/>
        <v>1545</v>
      </c>
      <c r="G37" s="195">
        <f t="shared" si="14"/>
        <v>0</v>
      </c>
      <c r="H37" s="275">
        <f t="shared" si="14"/>
        <v>1046.8000000000002</v>
      </c>
      <c r="I37" s="195">
        <f t="shared" si="14"/>
        <v>64380.719600000019</v>
      </c>
      <c r="J37" s="275">
        <f>+I37/H37</f>
        <v>61.502406954528091</v>
      </c>
      <c r="K37" s="195">
        <f t="shared" si="14"/>
        <v>6017.5300000000007</v>
      </c>
      <c r="L37" s="275">
        <f>+K37/H37</f>
        <v>5.7485001910584632</v>
      </c>
      <c r="M37" s="275">
        <f>+(I37+K37)/H37</f>
        <v>67.250907145586567</v>
      </c>
      <c r="N37" s="195">
        <f>SUM(N6:N36)</f>
        <v>120</v>
      </c>
      <c r="O37" s="195">
        <f>SUM(O6:O36)</f>
        <v>7055.860999999999</v>
      </c>
      <c r="P37" s="285">
        <f>+O37/N37</f>
        <v>58.798841666666661</v>
      </c>
      <c r="Q37" s="195">
        <f t="shared" ref="Q37:U37" si="15">SUM(Q6:Q36)</f>
        <v>7</v>
      </c>
      <c r="R37" s="195">
        <f t="shared" si="15"/>
        <v>7</v>
      </c>
      <c r="S37" s="195">
        <f t="shared" si="15"/>
        <v>7</v>
      </c>
      <c r="T37" s="295">
        <f t="shared" si="6"/>
        <v>7</v>
      </c>
      <c r="U37" s="195">
        <f t="shared" si="15"/>
        <v>328</v>
      </c>
      <c r="V37" s="290">
        <f>+U37/T37</f>
        <v>46.857142857142854</v>
      </c>
      <c r="W37" s="287">
        <f>SUM(W6:W36)</f>
        <v>0</v>
      </c>
      <c r="X37" s="195">
        <f>SUM(X6:X36)</f>
        <v>0</v>
      </c>
      <c r="Y37" s="252" t="e">
        <f>+X37/W37</f>
        <v>#DIV/0!</v>
      </c>
      <c r="Z37" s="195">
        <f>SUM(Z6:Z36)</f>
        <v>44</v>
      </c>
      <c r="AA37" s="195">
        <f>SUM(AA6:AA36)</f>
        <v>632.74</v>
      </c>
      <c r="AB37" s="275">
        <f>+AA37/Z37</f>
        <v>14.380454545454546</v>
      </c>
      <c r="AC37" s="195">
        <f>SUM(AC6:AC36)</f>
        <v>292</v>
      </c>
      <c r="AD37" s="195">
        <f>SUM(AD6:AD36)</f>
        <v>2039.6399999999999</v>
      </c>
      <c r="AE37" s="275" t="e">
        <f>SUM(AE6:AE36)</f>
        <v>#DIV/0!</v>
      </c>
      <c r="AF37" s="195">
        <f>SUM(AF6:AF36)</f>
        <v>1040.42</v>
      </c>
      <c r="AG37" s="275">
        <f>+AF37/(N37+H37)</f>
        <v>0.89168666438121347</v>
      </c>
      <c r="AH37" s="195">
        <f t="shared" ref="AH37:AM37" si="16">SUM(AH6:AH36)</f>
        <v>777.3900000000001</v>
      </c>
      <c r="AI37" s="195">
        <f t="shared" si="16"/>
        <v>0</v>
      </c>
      <c r="AJ37" s="195">
        <f t="shared" si="16"/>
        <v>1564.4449999999999</v>
      </c>
      <c r="AK37" s="195">
        <f t="shared" si="16"/>
        <v>0</v>
      </c>
      <c r="AL37" s="195">
        <f t="shared" si="16"/>
        <v>318</v>
      </c>
      <c r="AM37" s="253">
        <f t="shared" si="16"/>
        <v>3433.3500000000004</v>
      </c>
      <c r="AN37" s="195">
        <f>AM37/AL37</f>
        <v>10.796698113207547</v>
      </c>
      <c r="AO37" s="203">
        <f>SUM(AO6:AO36)</f>
        <v>87270.09560000003</v>
      </c>
    </row>
    <row r="39" spans="1:41" ht="19.5" customHeight="1" x14ac:dyDescent="0.25">
      <c r="G39" s="305" t="s">
        <v>109</v>
      </c>
      <c r="H39" s="306"/>
      <c r="I39" s="306"/>
      <c r="J39" s="307"/>
      <c r="K39" s="266">
        <f>+L37</f>
        <v>5.7485001910584632</v>
      </c>
      <c r="L39" s="268"/>
    </row>
    <row r="40" spans="1:41" ht="21.75" customHeight="1" x14ac:dyDescent="0.25">
      <c r="G40" s="305" t="s">
        <v>110</v>
      </c>
      <c r="H40" s="306"/>
      <c r="I40" s="306"/>
      <c r="J40" s="307"/>
      <c r="K40" s="267">
        <v>6</v>
      </c>
      <c r="L40" s="269"/>
    </row>
  </sheetData>
  <mergeCells count="11">
    <mergeCell ref="G39:J39"/>
    <mergeCell ref="G40:J40"/>
    <mergeCell ref="A1:AO1"/>
    <mergeCell ref="A2:AO2"/>
    <mergeCell ref="A3:AO3"/>
    <mergeCell ref="B4:M4"/>
    <mergeCell ref="N4:P4"/>
    <mergeCell ref="Q4:V4"/>
    <mergeCell ref="W4:AE4"/>
    <mergeCell ref="AI4:AJ4"/>
    <mergeCell ref="AL4:AN4"/>
  </mergeCells>
  <conditionalFormatting sqref="Q24:S29">
    <cfRule type="cellIs" dxfId="1" priority="1" operator="equal">
      <formula>"MUKKADAS"</formula>
    </cfRule>
    <cfRule type="containsText" dxfId="0" priority="2" operator="containsText" text="UMAR">
      <formula>NOT(ISERROR(SEARCH("UMAR",Q24)))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Jul-24</vt:lpstr>
      <vt:lpstr>Aug-24 </vt:lpstr>
      <vt:lpstr>SEPT-24</vt:lpstr>
      <vt:lpstr>OCT-24</vt:lpstr>
      <vt:lpstr>NOV-24</vt:lpstr>
      <vt:lpstr>DEC -24</vt:lpstr>
      <vt:lpstr>JAN-2025</vt:lpstr>
      <vt:lpstr>FEB-2025</vt:lpstr>
      <vt:lpstr>MAR-2025</vt:lpstr>
      <vt:lpstr>APR-2025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  <vt:lpstr>JAN-26</vt:lpstr>
      <vt:lpstr>FEB-26</vt:lpstr>
      <vt:lpstr>MAR-26 </vt:lpstr>
      <vt:lpstr>APR-26 </vt:lpstr>
      <vt:lpstr>MAY-26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</dc:creator>
  <cp:lastModifiedBy>Siparot SK</cp:lastModifiedBy>
  <cp:lastPrinted>2024-12-07T14:31:07Z</cp:lastPrinted>
  <dcterms:created xsi:type="dcterms:W3CDTF">2024-03-18T06:55:21Z</dcterms:created>
  <dcterms:modified xsi:type="dcterms:W3CDTF">2026-05-04T14:10:10Z</dcterms:modified>
</cp:coreProperties>
</file>